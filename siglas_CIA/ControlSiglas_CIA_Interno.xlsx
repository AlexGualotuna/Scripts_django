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Hoja1" sheetId="1" state="visible" r:id="rId2"/>
    <sheet name="Sheet2" sheetId="2" state="visible" r:id="rId3"/>
  </sheets>
  <definedNames>
    <definedName function="false" hidden="true" localSheetId="0" name="_xlnm._FilterDatabase" vbProcedure="false">Hoja1!$A$1:$H$439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<sst xmlns="http://schemas.openxmlformats.org/spreadsheetml/2006/main" count="6527" uniqueCount="3159">
  <si>
    <t xml:space="preserve">SCBCRSE_CODE</t>
  </si>
  <si>
    <t xml:space="preserve">Nombre Largo</t>
  </si>
  <si>
    <t xml:space="preserve">Nombre Corto</t>
  </si>
  <si>
    <t xml:space="preserve">SCBCRSE_CREDIT_HR_LOW</t>
  </si>
  <si>
    <t xml:space="preserve">ECTE6112</t>
  </si>
  <si>
    <t xml:space="preserve">ADMINISTRACIÓN DE PROCESOS PRODUCTIVOS</t>
  </si>
  <si>
    <t xml:space="preserve">ADM PROC PROD</t>
  </si>
  <si>
    <t xml:space="preserve">ECTE6106</t>
  </si>
  <si>
    <t xml:space="preserve">AHCN2089</t>
  </si>
  <si>
    <t xml:space="preserve">ADMINISTRACIÓN DE PROYECTOS</t>
  </si>
  <si>
    <t xml:space="preserve">ADMINISTRACIÓN DE RECURSOS HUMANOS</t>
  </si>
  <si>
    <t xml:space="preserve">ADM RR HH</t>
  </si>
  <si>
    <t xml:space="preserve">ECTE6107</t>
  </si>
  <si>
    <t xml:space="preserve">ECTE6113</t>
  </si>
  <si>
    <t xml:space="preserve">ALFABETIZACIÓN DIGITAL EN ADULTOS</t>
  </si>
  <si>
    <t xml:space="preserve">ALFA DIGI ADUL</t>
  </si>
  <si>
    <t xml:space="preserve">POMA5069</t>
  </si>
  <si>
    <t xml:space="preserve">ÁLGEBRA ELEMENTAL Y ESTRUCTURAS MATEMÁTICAS</t>
  </si>
  <si>
    <t xml:space="preserve">ÁLGE ELEM ESTR MATE</t>
  </si>
  <si>
    <t xml:space="preserve">CSCE0231</t>
  </si>
  <si>
    <t xml:space="preserve">AMBIENTES DE APRENDIZAJE Y JUEGO</t>
  </si>
  <si>
    <t xml:space="preserve">AMBI APRE JUEGO</t>
  </si>
  <si>
    <t xml:space="preserve">CSCE0215</t>
  </si>
  <si>
    <t xml:space="preserve">ANÁLISIS COGNITIVO DEL APRENDIZAJE MATEMÁTICO EN I Y II CICLOS</t>
  </si>
  <si>
    <t xml:space="preserve">ANÁL COGN APRE MATE I II CI</t>
  </si>
  <si>
    <t xml:space="preserve">CSCE2137</t>
  </si>
  <si>
    <t xml:space="preserve">ANÁLISIS DEL DISCURSO E INTERCULTURALIDAD</t>
  </si>
  <si>
    <t xml:space="preserve">ANÁL DISC E INTE</t>
  </si>
  <si>
    <t xml:space="preserve">CSCE0183</t>
  </si>
  <si>
    <t xml:space="preserve">ANÁLISIS ECONÓMICO Y POLÍTICO</t>
  </si>
  <si>
    <t xml:space="preserve">ANÁL ECON POLÍ</t>
  </si>
  <si>
    <t xml:space="preserve">AHCN2087</t>
  </si>
  <si>
    <t xml:space="preserve">ANÁLISIS FINANCIERO EN EDUCACIÓN</t>
  </si>
  <si>
    <t xml:space="preserve">ANÁL FINA EDUC</t>
  </si>
  <si>
    <t xml:space="preserve">POMA5057</t>
  </si>
  <si>
    <t xml:space="preserve">ANÁLISIS HISTÓRICO POLÍTICO DE LA EDUCACIÓN COSTARRICENSE</t>
  </si>
  <si>
    <t xml:space="preserve">ANÁL HIST POLÍ EDUC COST</t>
  </si>
  <si>
    <t xml:space="preserve">CSCE2147</t>
  </si>
  <si>
    <t xml:space="preserve">ANÁLISIS FUNCIONAL</t>
  </si>
  <si>
    <t xml:space="preserve">ANÁLISIS Y PRESUPUESTO TRANSMEDIA</t>
  </si>
  <si>
    <t xml:space="preserve">ANÁL PRES TRAN</t>
  </si>
  <si>
    <t xml:space="preserve">POMA5022</t>
  </si>
  <si>
    <t xml:space="preserve">APRENDIZAJE MEDIADO POR TECNOLOGÍA</t>
  </si>
  <si>
    <t xml:space="preserve">APRE MEDI TECN</t>
  </si>
  <si>
    <t xml:space="preserve">CCCO2012</t>
  </si>
  <si>
    <t xml:space="preserve">ARGUMENTACIÓN Y LÓGICA JURÍDICA</t>
  </si>
  <si>
    <t xml:space="preserve">ARGU LÓGICA JURÍ</t>
  </si>
  <si>
    <t xml:space="preserve">CCAV0044</t>
  </si>
  <si>
    <t xml:space="preserve">ANIMACIÓN</t>
  </si>
  <si>
    <t xml:space="preserve">ATENCIÓN AVANZADA DE LA DIVERSIDAD Y ALTAS CAPACIDADES EN LA NIÑEZ</t>
  </si>
  <si>
    <t xml:space="preserve">ATEN AVAN DIVE ALTAS CAPA N</t>
  </si>
  <si>
    <t xml:space="preserve">POMA5050</t>
  </si>
  <si>
    <t xml:space="preserve">AUDITORÍA DE RECURSOS HUMANOS</t>
  </si>
  <si>
    <t xml:space="preserve">AUDI RR HH</t>
  </si>
  <si>
    <t xml:space="preserve">CJJU0063</t>
  </si>
  <si>
    <t xml:space="preserve">AUDITORÍA Y CALIDAD EDUCATIVA</t>
  </si>
  <si>
    <t xml:space="preserve">AUDI CAL EDUC</t>
  </si>
  <si>
    <t xml:space="preserve">CSCE0218</t>
  </si>
  <si>
    <t xml:space="preserve">ARTE Y EXPRESIÓN CREATIVA </t>
  </si>
  <si>
    <t xml:space="preserve">BIOLOGÍA GENERAL I: TEORÍA Y LABORATORIO</t>
  </si>
  <si>
    <t xml:space="preserve">BIOL GENE I TEORÍA LABO</t>
  </si>
  <si>
    <t xml:space="preserve">AHCN2066</t>
  </si>
  <si>
    <t xml:space="preserve">ASEGURAMIENTO Y AUDITORÍA </t>
  </si>
  <si>
    <t xml:space="preserve">BIOLOGÍA GENERAL II: TEORÍA Y LABORATORIO</t>
  </si>
  <si>
    <t xml:space="preserve">BIOL GENE II TEORÍA LABO</t>
  </si>
  <si>
    <t xml:space="preserve">CSCE2136</t>
  </si>
  <si>
    <t xml:space="preserve">BIOLOGÍA MODERNA EN LA ENSEÑANZA DE LAS CIENCIAS</t>
  </si>
  <si>
    <t xml:space="preserve">BIOL MODE ENSE CIEN</t>
  </si>
  <si>
    <t xml:space="preserve">AHCN2062</t>
  </si>
  <si>
    <t xml:space="preserve">AUDITORÍA DE GESTIÓN</t>
  </si>
  <si>
    <t xml:space="preserve">Inicia siglas de CIA</t>
  </si>
  <si>
    <t xml:space="preserve">CÁLCULO DIFERENCIAL Y REPRESENTACIONES</t>
  </si>
  <si>
    <t xml:space="preserve">CÁLC DIFE REPR</t>
  </si>
  <si>
    <t xml:space="preserve">AHCN2079</t>
  </si>
  <si>
    <t xml:space="preserve">CÁLCULO INTEGRAL Y MODELACIÓN MATEMÁTICA</t>
  </si>
  <si>
    <t xml:space="preserve">CÁLC INTE MODE MATE</t>
  </si>
  <si>
    <t xml:space="preserve">AHCN2065</t>
  </si>
  <si>
    <t xml:space="preserve">AUDITORÍA FISCAL</t>
  </si>
  <si>
    <t xml:space="preserve">CÁLCULO MULTIVARIADO Y APLICACIONES</t>
  </si>
  <si>
    <t xml:space="preserve">CÁLC MULT APLI</t>
  </si>
  <si>
    <t xml:space="preserve">AHCN2063</t>
  </si>
  <si>
    <t xml:space="preserve">AUDITORÍA INFORMÁTICA</t>
  </si>
  <si>
    <t xml:space="preserve">CALIDAD EDUCATIVA Y SISTEMATIZACIÓN DE LAS PRÁCTICAS PEDAGÓGICAS</t>
  </si>
  <si>
    <t xml:space="preserve">CAL EDUC SIST PRÁC PEDA</t>
  </si>
  <si>
    <t xml:space="preserve">POMA5062</t>
  </si>
  <si>
    <t xml:space="preserve">CARTOGRAFÍA Y GEOGRAFÍA MUNDIAL</t>
  </si>
  <si>
    <t xml:space="preserve">CART GEOG MUND</t>
  </si>
  <si>
    <t xml:space="preserve">CSCE0152</t>
  </si>
  <si>
    <t xml:space="preserve">AXIOLOGÍA EN LA DOCENCIA</t>
  </si>
  <si>
    <t xml:space="preserve">CIENCIA, SOCIEDAD Y CONTEXTO</t>
  </si>
  <si>
    <t xml:space="preserve">CIEN SOCI CONT</t>
  </si>
  <si>
    <t xml:space="preserve">CSCE0157</t>
  </si>
  <si>
    <t xml:space="preserve">BIENESTAR Y AUTOCUIDADO</t>
  </si>
  <si>
    <t xml:space="preserve">CIENCIA, TECNOLOGÍA Y PROSPECTIVA EN EDUCACIÓN CIENTÍFICA</t>
  </si>
  <si>
    <t xml:space="preserve">CIEN TECN PROS EDUC CIEN</t>
  </si>
  <si>
    <t xml:space="preserve">CSCE0205</t>
  </si>
  <si>
    <t xml:space="preserve">BIOGEOGRAFÍA</t>
  </si>
  <si>
    <t xml:space="preserve">CIENCIAS Y STEAM PARA I Y II CICLOS</t>
  </si>
  <si>
    <t xml:space="preserve">CIEN STEAM I II CICLOS</t>
  </si>
  <si>
    <t xml:space="preserve">CNCA0001</t>
  </si>
  <si>
    <t xml:space="preserve">COLABORACIÓN EN INTEGRACIÓN DE PROCESOS DE LA CADENA DE SUMINISTROS</t>
  </si>
  <si>
    <t xml:space="preserve">COLA INTE PROC CADENA SUMI</t>
  </si>
  <si>
    <t xml:space="preserve">CNCA0002</t>
  </si>
  <si>
    <t xml:space="preserve">CSCE2106</t>
  </si>
  <si>
    <t xml:space="preserve">COMPETENCIAS Y ESTÁNDARES INTERNACIONALES EN EL CURRÍCULO</t>
  </si>
  <si>
    <t xml:space="preserve">COMP ESTÁ INT CURR</t>
  </si>
  <si>
    <t xml:space="preserve">CSCE0233</t>
  </si>
  <si>
    <t xml:space="preserve">COMPORTAMIENTO HUMANO Y PSICOLOGÍA LABORAL</t>
  </si>
  <si>
    <t xml:space="preserve">COMP HUMANO PSIC LABO</t>
  </si>
  <si>
    <t xml:space="preserve">CSCE0235</t>
  </si>
  <si>
    <t xml:space="preserve">COMPORTAMIENTO ORGANIZACIONAL</t>
  </si>
  <si>
    <t xml:space="preserve">COMP ORGA</t>
  </si>
  <si>
    <t xml:space="preserve">CSCE2145</t>
  </si>
  <si>
    <t xml:space="preserve">COMPRESIÓN LECTORA Y PRODUCCIÓN ESCRITA</t>
  </si>
  <si>
    <t xml:space="preserve">COMP LECT PROD ESCR</t>
  </si>
  <si>
    <t xml:space="preserve">CSCE0149</t>
  </si>
  <si>
    <t xml:space="preserve">COMUNICACIÓN Y DIVULGACIÓN ESTRATÉGICA DE DATOS</t>
  </si>
  <si>
    <t xml:space="preserve">COMU DIVU ESTRAT DATOS</t>
  </si>
  <si>
    <t xml:space="preserve">CSCE0195</t>
  </si>
  <si>
    <t xml:space="preserve">CONTABILIDAD Y FINANZAS PARA PYMES</t>
  </si>
  <si>
    <t xml:space="preserve">CONT FINA PYMES</t>
  </si>
  <si>
    <t xml:space="preserve">CSCE0138</t>
  </si>
  <si>
    <t xml:space="preserve">CONTRALORÍA DE SERVICIO AL CLIENTE</t>
  </si>
  <si>
    <t xml:space="preserve">CONT SERV AL CLIE</t>
  </si>
  <si>
    <t xml:space="preserve">CSCE0160</t>
  </si>
  <si>
    <t xml:space="preserve">COSTA RICA: HISTORIA, SOCIEDAD Y CAMBIO CONTEMPORÁNEO</t>
  </si>
  <si>
    <t xml:space="preserve">COSTA RICA HIST SOCI CAMBIO</t>
  </si>
  <si>
    <t xml:space="preserve">CSCE2138</t>
  </si>
  <si>
    <t xml:space="preserve">CULTURA ORGANIZACIONAL Y PROCESOS DE CAMBIO</t>
  </si>
  <si>
    <t xml:space="preserve">CULT ORGA PROC CAMBIO</t>
  </si>
  <si>
    <t xml:space="preserve">ECTE6098</t>
  </si>
  <si>
    <t xml:space="preserve">DERECHO DE LAS OBLIGACIONES I</t>
  </si>
  <si>
    <t xml:space="preserve">DERE OBLI I</t>
  </si>
  <si>
    <t xml:space="preserve">ECTE6114</t>
  </si>
  <si>
    <t xml:space="preserve">DERECHO DE LAS OBLIGACIONES II</t>
  </si>
  <si>
    <t xml:space="preserve">DERE OBLI II</t>
  </si>
  <si>
    <t xml:space="preserve">POMA5072</t>
  </si>
  <si>
    <t xml:space="preserve">DERECHO DE LOS CONTRATOS CIVILES</t>
  </si>
  <si>
    <t xml:space="preserve">DERE CONT CIVI</t>
  </si>
  <si>
    <t xml:space="preserve">AHCN2077</t>
  </si>
  <si>
    <t xml:space="preserve">DERECHO DE LOS CONTRATOS MERCANTILES</t>
  </si>
  <si>
    <t xml:space="preserve">DERE CONT MERC</t>
  </si>
  <si>
    <t xml:space="preserve">INIG2022</t>
  </si>
  <si>
    <t xml:space="preserve">DERECHO INTERNACIONAL PRIVADO</t>
  </si>
  <si>
    <t xml:space="preserve">DERE INT PRIV</t>
  </si>
  <si>
    <t xml:space="preserve">CSCE0211</t>
  </si>
  <si>
    <t xml:space="preserve">DERECHO INTERNACIONAL PÚBLICO</t>
  </si>
  <si>
    <t xml:space="preserve">DERE INT PÚBL</t>
  </si>
  <si>
    <t xml:space="preserve">CCCO2011</t>
  </si>
  <si>
    <t xml:space="preserve">COMUNICACIÓN ESTRATÉGICA</t>
  </si>
  <si>
    <t xml:space="preserve">DERECHO NOTARIAL Y REGISTRAL</t>
  </si>
  <si>
    <t xml:space="preserve">DERE NOTA REGI</t>
  </si>
  <si>
    <t xml:space="preserve">CCCO2015</t>
  </si>
  <si>
    <t xml:space="preserve">COMUNICACIÓN POLÍTICA</t>
  </si>
  <si>
    <t xml:space="preserve">DERECHO PROCESAL ADMINISTRATIVO</t>
  </si>
  <si>
    <t xml:space="preserve">DERE PROC ADMI</t>
  </si>
  <si>
    <t xml:space="preserve">CSCE2101</t>
  </si>
  <si>
    <t xml:space="preserve">DERECHO PROCESAL CONSTITUCIONAL</t>
  </si>
  <si>
    <t xml:space="preserve">DERE PROC CONS</t>
  </si>
  <si>
    <t xml:space="preserve">AHCN2096</t>
  </si>
  <si>
    <t xml:space="preserve">CONDUCTA DEL CONSUMIDOR</t>
  </si>
  <si>
    <t xml:space="preserve">DERECHO TRIBUTARIO Y FINANCIERO</t>
  </si>
  <si>
    <t xml:space="preserve">DERE TRIB FINA</t>
  </si>
  <si>
    <t xml:space="preserve">AHCN2069</t>
  </si>
  <si>
    <t xml:space="preserve">DERECHO Y LAS TECNOLOGÍAS DE LA INFORMACIÓN Y LA COMUNICACIÓN</t>
  </si>
  <si>
    <t xml:space="preserve">DERE TEC INFO COMU</t>
  </si>
  <si>
    <t xml:space="preserve">AHCN2102</t>
  </si>
  <si>
    <t xml:space="preserve">DESARROLLO DE HABILIDADES PARA EL LIDERAZGO PEDAGÓGICO</t>
  </si>
  <si>
    <t xml:space="preserve">DESA HABI LIDE PEDA</t>
  </si>
  <si>
    <t xml:space="preserve">CNCA0004</t>
  </si>
  <si>
    <t xml:space="preserve">COSMOGRAFÍA</t>
  </si>
  <si>
    <t xml:space="preserve">DESARROLLO DE LA LECTOESCRITURA INICIAL</t>
  </si>
  <si>
    <t xml:space="preserve">DESA LECT INIC</t>
  </si>
  <si>
    <t xml:space="preserve">CSCE2128</t>
  </si>
  <si>
    <t xml:space="preserve">DESARROLLO DEL PENSAMIENTO ALGEBRAICO Y FUNCIONAL</t>
  </si>
  <si>
    <t xml:space="preserve">DESA PENS ALGE FUNC</t>
  </si>
  <si>
    <t xml:space="preserve">ECTE6111</t>
  </si>
  <si>
    <t xml:space="preserve">COSTOS INDUSTRIALES</t>
  </si>
  <si>
    <t xml:space="preserve">DIDÁCTICA AVANZADA DE LOS APRENDIZAJES</t>
  </si>
  <si>
    <t xml:space="preserve">DIDÁ AVAN APRE</t>
  </si>
  <si>
    <t xml:space="preserve">ECTE6121</t>
  </si>
  <si>
    <t xml:space="preserve">DIDÁCTICA DE LOS APRENDIZAJES I</t>
  </si>
  <si>
    <t xml:space="preserve">DIDÁ APRE I</t>
  </si>
  <si>
    <t xml:space="preserve">AHCN2073</t>
  </si>
  <si>
    <t xml:space="preserve">DIDÁCTICA DE LOS APRENDIZAJES II</t>
  </si>
  <si>
    <t xml:space="preserve">DIDÁ APRE II</t>
  </si>
  <si>
    <t xml:space="preserve">POMA5074</t>
  </si>
  <si>
    <t xml:space="preserve">CURRÍCULO POR COMPETENCIAS</t>
  </si>
  <si>
    <t xml:space="preserve">DIRECCIÓN ESTRATÉGICA DE MERCADO Y VENTAS</t>
  </si>
  <si>
    <t xml:space="preserve">DIR ESTRAT MERC VENTAS</t>
  </si>
  <si>
    <t xml:space="preserve">CJJU0058</t>
  </si>
  <si>
    <t xml:space="preserve">DERECHO ADMINISTRATIVO I</t>
  </si>
  <si>
    <t xml:space="preserve">DISEÑO DE AMBIENTES DE APRENDIZAJE INNOVADORES</t>
  </si>
  <si>
    <t xml:space="preserve">DISEÑO AMBI APRE INNO</t>
  </si>
  <si>
    <t xml:space="preserve">CJJU0065</t>
  </si>
  <si>
    <t xml:space="preserve">DERECHO ADMINISTRATIVO II</t>
  </si>
  <si>
    <t xml:space="preserve">DISEÑO DE INSTRUMENTOS DE EVALUACIÓN</t>
  </si>
  <si>
    <t xml:space="preserve">DISEÑO INST EVAL</t>
  </si>
  <si>
    <t xml:space="preserve">CJJU2016</t>
  </si>
  <si>
    <t xml:space="preserve">DERECHO AGRARIO Y AMBIENTAL</t>
  </si>
  <si>
    <t xml:space="preserve">DISEÑO DE PROGRAMAS PARA LA EDUCACIÓN ADULTA</t>
  </si>
  <si>
    <t xml:space="preserve">DISEÑO PROG EDUC ADULTA</t>
  </si>
  <si>
    <t xml:space="preserve">CJJU0050</t>
  </si>
  <si>
    <t xml:space="preserve">DERECHO COMERCIAL I</t>
  </si>
  <si>
    <t xml:space="preserve">DISEÑO DE SISTEMAS DE COMPENSACIÓN</t>
  </si>
  <si>
    <t xml:space="preserve">DISEÑO SIST COMP</t>
  </si>
  <si>
    <t xml:space="preserve">CJJU0052</t>
  </si>
  <si>
    <t xml:space="preserve">DERECHO COMERCIAL II</t>
  </si>
  <si>
    <t xml:space="preserve">DISEÑO DE VITRINAS Y ESCAPARATES</t>
  </si>
  <si>
    <t xml:space="preserve">DISEÑO VITR ESCA</t>
  </si>
  <si>
    <t xml:space="preserve">CJJU2022</t>
  </si>
  <si>
    <t xml:space="preserve">DERECHO CONCURSAL</t>
  </si>
  <si>
    <t xml:space="preserve">DISEÑO DIGITAL DE MATERIALES DIDÁCTICOS</t>
  </si>
  <si>
    <t xml:space="preserve">DISEÑO DIGI MATE DIDÁ</t>
  </si>
  <si>
    <t xml:space="preserve">CJJU0041</t>
  </si>
  <si>
    <t xml:space="preserve">DERECHO CONSTITUCIONAL I</t>
  </si>
  <si>
    <t xml:space="preserve">DIVERSIDAD CULTURAL Y LA ENSEÑANZA DEL ESPAÑOL</t>
  </si>
  <si>
    <t xml:space="preserve">DIVE CULT ENSE ESPA</t>
  </si>
  <si>
    <t xml:space="preserve">CJJU0045</t>
  </si>
  <si>
    <t xml:space="preserve">DERECHO CONSTITUCIONAL II</t>
  </si>
  <si>
    <t xml:space="preserve">ECOLOGÍA Y GESTIÓN AMBIENTAL PARA LA ENSEÑANZA DE LAS CIENCIAS NATURALES</t>
  </si>
  <si>
    <t xml:space="preserve">ECOL GEST AMBI ENSE CIEN NA</t>
  </si>
  <si>
    <t xml:space="preserve">CJJU0046</t>
  </si>
  <si>
    <t xml:space="preserve">DERECHO DE FAMILIA I</t>
  </si>
  <si>
    <t xml:space="preserve">ECUACIONES DIFERENCIALES Y MODELOS MATEMÁTICOS</t>
  </si>
  <si>
    <t xml:space="preserve">ECUA DIFE MODE MATE</t>
  </si>
  <si>
    <t xml:space="preserve">CJJU0051</t>
  </si>
  <si>
    <t xml:space="preserve">DERECHO DE FAMILIA II</t>
  </si>
  <si>
    <t xml:space="preserve">EDUCACIÓN AMBIENTAL Y PROYECTOS ECO-ESCOLARES PARA I Y II CICLOS</t>
  </si>
  <si>
    <t xml:space="preserve">EDUC AMBI PROY ECO- I II CI</t>
  </si>
  <si>
    <t xml:space="preserve">CJJU0044</t>
  </si>
  <si>
    <t xml:space="preserve">EDUCACIÓN CIENTÍFICA PARA LA SOSTENIBILIDAD Y LOS ODS</t>
  </si>
  <si>
    <t xml:space="preserve">EDUC CIEN SOST ODS</t>
  </si>
  <si>
    <t xml:space="preserve">CJJU0048</t>
  </si>
  <si>
    <t xml:space="preserve">EDUCACIÓN EMOCIONAL Y HABILIDADES PARA LA VIDA EN LA INFANCIA</t>
  </si>
  <si>
    <t xml:space="preserve">EDUC EMOC HABI VIDA INFA</t>
  </si>
  <si>
    <t xml:space="preserve">CJJU0070</t>
  </si>
  <si>
    <t xml:space="preserve">EDUCACIÓN INCLUSIVA EN ENTORNOS NEURODIVERGENTES</t>
  </si>
  <si>
    <t xml:space="preserve">EDUC INCL ENTO NEUR</t>
  </si>
  <si>
    <t xml:space="preserve">CJJU0073</t>
  </si>
  <si>
    <t xml:space="preserve">EDUCACIÓN PARA LA SOSTENIBILIDAD Y LA CULTURA DE PAZ</t>
  </si>
  <si>
    <t xml:space="preserve">EDUC SOST CULT PAZ</t>
  </si>
  <si>
    <t xml:space="preserve">CJJU2023</t>
  </si>
  <si>
    <t xml:space="preserve">ELECTIVA PARA CIENCIAS DE LA EDUCACIÓN</t>
  </si>
  <si>
    <t xml:space="preserve">ELEC CIEN EDUC</t>
  </si>
  <si>
    <t xml:space="preserve">CJJU2024</t>
  </si>
  <si>
    <t xml:space="preserve">ENSEÑANZA DE LA MATEMÁTICA I</t>
  </si>
  <si>
    <t xml:space="preserve">ENSE MATE I</t>
  </si>
  <si>
    <t xml:space="preserve">CJJU0064</t>
  </si>
  <si>
    <t xml:space="preserve">DERECHO LABORAL I</t>
  </si>
  <si>
    <t xml:space="preserve">ENSEÑANZA DE LAS CIENCIAS NATURALES I</t>
  </si>
  <si>
    <t xml:space="preserve">ENSE CIEN NATU I</t>
  </si>
  <si>
    <t xml:space="preserve">CJJU0067</t>
  </si>
  <si>
    <t xml:space="preserve">DERECHO LABORAL II</t>
  </si>
  <si>
    <t xml:space="preserve">ENSEÑANZA DE LAS CIENCIAS NATURALES II</t>
  </si>
  <si>
    <t xml:space="preserve">ENSE CIEN NATU II</t>
  </si>
  <si>
    <t xml:space="preserve">CJJU2026</t>
  </si>
  <si>
    <t xml:space="preserve">ENSEÑANZA DE LAS MATEMÁTICAS II</t>
  </si>
  <si>
    <t xml:space="preserve">ENSE MATE II</t>
  </si>
  <si>
    <t xml:space="preserve">CJJU0047</t>
  </si>
  <si>
    <t xml:space="preserve">DERECHO PENAL ESPECIAL I</t>
  </si>
  <si>
    <t xml:space="preserve">ENSEÑANZA DE LOS ESTUDIOS SOCIALES I</t>
  </si>
  <si>
    <t xml:space="preserve">ENSE ESTU SOCI I</t>
  </si>
  <si>
    <t xml:space="preserve">CJJU0054</t>
  </si>
  <si>
    <t xml:space="preserve">DERECHO PENAL ESPECIAL II</t>
  </si>
  <si>
    <t xml:space="preserve">ENSEÑANZA DE LOS ESTUDIOS SOCIALES II</t>
  </si>
  <si>
    <t xml:space="preserve">ENSE ESTU SOCI II</t>
  </si>
  <si>
    <t xml:space="preserve">CJJU0039</t>
  </si>
  <si>
    <t xml:space="preserve">DERECHO PENAL I</t>
  </si>
  <si>
    <t xml:space="preserve">ENTORNO LEGAL DE LA EDUCACIÓN</t>
  </si>
  <si>
    <t xml:space="preserve">ENTO LEGAL EDUC</t>
  </si>
  <si>
    <t xml:space="preserve">CJJU0043</t>
  </si>
  <si>
    <t xml:space="preserve">DERECHO PENAL II</t>
  </si>
  <si>
    <t xml:space="preserve">EPISTEMOLOGÍA E HISTORIA DE LA CIENCIA</t>
  </si>
  <si>
    <t xml:space="preserve">EPIS E HIST CIEN</t>
  </si>
  <si>
    <t xml:space="preserve">CJJU0038</t>
  </si>
  <si>
    <t xml:space="preserve">DERECHO PRIVADO I</t>
  </si>
  <si>
    <t xml:space="preserve">ESCRITURA EFECTIVA Y PRODUCCIÓN DE TEXTOS</t>
  </si>
  <si>
    <t xml:space="preserve">ESCR EFEC PROD TEXTOS</t>
  </si>
  <si>
    <t xml:space="preserve">CJJU0042</t>
  </si>
  <si>
    <t xml:space="preserve">DERECHO PRIVADO II</t>
  </si>
  <si>
    <t xml:space="preserve">ESPAÑOL COMO SEGUNDA LENGUA: ENFOQUES Y CONTEXTOS INTERCULTURALES</t>
  </si>
  <si>
    <t xml:space="preserve">ESPA COMO SEGU LENGUA ENFO </t>
  </si>
  <si>
    <t xml:space="preserve">CJJU0069</t>
  </si>
  <si>
    <t xml:space="preserve">ESPAÑOL Y BILIGÜISMO EN CONTEXTOS EDUCATIVOS</t>
  </si>
  <si>
    <t xml:space="preserve">ESPA BILI CONT EDUC</t>
  </si>
  <si>
    <t xml:space="preserve">CJJU0072</t>
  </si>
  <si>
    <t xml:space="preserve">DERECHO PROCESAL CIVIL I</t>
  </si>
  <si>
    <t xml:space="preserve">ESTADÍSTICA APLICADA A LA INVESTIGACIÓN EDUCATIVA</t>
  </si>
  <si>
    <t xml:space="preserve">ESTA APLI INVEST EDUC</t>
  </si>
  <si>
    <t xml:space="preserve">CJJU2017</t>
  </si>
  <si>
    <t xml:space="preserve">DERECHO PROCESAL CIVIL II</t>
  </si>
  <si>
    <t xml:space="preserve">ESTADÍSTICA AVANZADA APLICADA A LA INVESTIGACIÓN EDUCATIVA</t>
  </si>
  <si>
    <t xml:space="preserve">ESTA AVAN APLI INVEST EDUC</t>
  </si>
  <si>
    <t xml:space="preserve">CJJU2021</t>
  </si>
  <si>
    <t xml:space="preserve">DERECHO PROCESAL CIVIL III</t>
  </si>
  <si>
    <t xml:space="preserve">ESTADÍSTICA Y PROBABILIDADES</t>
  </si>
  <si>
    <t xml:space="preserve">ESTA PROB</t>
  </si>
  <si>
    <t xml:space="preserve">CJJU0049</t>
  </si>
  <si>
    <t xml:space="preserve">ESTRATEGIA Y COMUNICACIÓN COMERCIAL</t>
  </si>
  <si>
    <t xml:space="preserve">ESTRAT COMU COME</t>
  </si>
  <si>
    <t xml:space="preserve">CJJU0057</t>
  </si>
  <si>
    <t xml:space="preserve">DERECHO PROCESAL DE FAMILIA</t>
  </si>
  <si>
    <t xml:space="preserve">ESTRATEGIA Y DISEÑO DE LA CADENA DE SUMINISTRO</t>
  </si>
  <si>
    <t xml:space="preserve">ESTRAT DISEÑO CADENA SUMI</t>
  </si>
  <si>
    <t xml:space="preserve">CJJU0071</t>
  </si>
  <si>
    <t xml:space="preserve">DERECHO PROCESAL LABORAL</t>
  </si>
  <si>
    <t xml:space="preserve">CJJU0056</t>
  </si>
  <si>
    <t xml:space="preserve">DERECHO PROCESAL PENAL I</t>
  </si>
  <si>
    <t xml:space="preserve">ESTRATEGIAS AVANZADAS PARA EL DESARROLLO DE COMPETENCIAS EN LECTOESCRITURA</t>
  </si>
  <si>
    <t xml:space="preserve">ESTR AVAN DESA COMP LECT</t>
  </si>
  <si>
    <t xml:space="preserve">CJJU0062</t>
  </si>
  <si>
    <t xml:space="preserve">DERECHO PROCESAL PENAL II</t>
  </si>
  <si>
    <t xml:space="preserve">ESTRATEGIAS PARA EL DESARROLLO DE COMPETENCIAS EN ADULTOS</t>
  </si>
  <si>
    <t xml:space="preserve">ESTR DESA COMP ADUL</t>
  </si>
  <si>
    <t xml:space="preserve">CJJU0066</t>
  </si>
  <si>
    <t xml:space="preserve">DERECHO PROCESAL PENAL III</t>
  </si>
  <si>
    <t xml:space="preserve">ESTUDIO DEL TIEMPO Y MOVIMIENTOS</t>
  </si>
  <si>
    <t xml:space="preserve">ESTU TIEMPO MOVI</t>
  </si>
  <si>
    <t xml:space="preserve">CJJU0040</t>
  </si>
  <si>
    <t xml:space="preserve">DERECHO PÚBLICO</t>
  </si>
  <si>
    <t xml:space="preserve">CJJU0036</t>
  </si>
  <si>
    <t xml:space="preserve">DERECHO ROMANO</t>
  </si>
  <si>
    <t xml:space="preserve">ÉTICA Y LEGISLACIÓN PUBLICITARIA</t>
  </si>
  <si>
    <t xml:space="preserve">ÉTICA LEGI PUBL</t>
  </si>
  <si>
    <t xml:space="preserve">CJJU2018</t>
  </si>
  <si>
    <t xml:space="preserve">DERECHO SUCESORIO</t>
  </si>
  <si>
    <t xml:space="preserve">ÉTICA Y PRINCIPIOS DE LEGISLACIÓN EDUCATIVA</t>
  </si>
  <si>
    <t xml:space="preserve">ÉTICA PRIN LEGI EDUC</t>
  </si>
  <si>
    <t xml:space="preserve">CJJU0068</t>
  </si>
  <si>
    <t xml:space="preserve">ÉTICA, SEXUALIDAD Y BIENESTAR EN LA EDUCACIÓN CIENTÍFICA</t>
  </si>
  <si>
    <t xml:space="preserve">ÉTICA SEXU BIEN EDUC CIEN</t>
  </si>
  <si>
    <t xml:space="preserve">CJJU2019</t>
  </si>
  <si>
    <t xml:space="preserve">EVALUACIÓN DE COMPETENCIAS EN LA EDUCACIÓN SUPERIOR</t>
  </si>
  <si>
    <t xml:space="preserve">EVAL COMP EDUC SUPE</t>
  </si>
  <si>
    <t xml:space="preserve">CJJU0053</t>
  </si>
  <si>
    <t xml:space="preserve">DERECHOS REALES I</t>
  </si>
  <si>
    <t xml:space="preserve">EVALUACIÓN DE LOS APRENDIZAJES</t>
  </si>
  <si>
    <t xml:space="preserve">EVAL APRE</t>
  </si>
  <si>
    <t xml:space="preserve">CJJU0059</t>
  </si>
  <si>
    <t xml:space="preserve">DERECHOS REALES II</t>
  </si>
  <si>
    <t xml:space="preserve">EVALUACIÓN E INNOVACIÓN EN LA ENSEÑANZA</t>
  </si>
  <si>
    <t xml:space="preserve">EVAL E INNO ENSE</t>
  </si>
  <si>
    <t xml:space="preserve">CSCE0145</t>
  </si>
  <si>
    <t xml:space="preserve">EVALUACIÓN EDUCATIVA INNOVADORA</t>
  </si>
  <si>
    <t xml:space="preserve">EVAL EDUC INNO</t>
  </si>
  <si>
    <t xml:space="preserve">CSCE0208</t>
  </si>
  <si>
    <t xml:space="preserve">EVALUACIÓN EN CONTEXTOS DIGITALES</t>
  </si>
  <si>
    <t xml:space="preserve">EVAL CONT DIGI</t>
  </si>
  <si>
    <t xml:space="preserve">CSCE0232</t>
  </si>
  <si>
    <t xml:space="preserve">EVALUACIÓN EN LA EDUCACIÓN DE ADULTOS</t>
  </si>
  <si>
    <t xml:space="preserve">EVAL EDUC ADUL</t>
  </si>
  <si>
    <t xml:space="preserve">CCAV0025</t>
  </si>
  <si>
    <t xml:space="preserve">DIBUJO I</t>
  </si>
  <si>
    <t xml:space="preserve">EVOLUCIÓN HISTÓRICA DEL ESPAÑOL</t>
  </si>
  <si>
    <t xml:space="preserve">EVOL HIST ESPA</t>
  </si>
  <si>
    <t xml:space="preserve">CCAV0027</t>
  </si>
  <si>
    <t xml:space="preserve">DIBUJO II</t>
  </si>
  <si>
    <t xml:space="preserve">EVOLUCIÓN Y DESARROLLO EMPRESARIAL</t>
  </si>
  <si>
    <t xml:space="preserve">EVOL DESA EMPR</t>
  </si>
  <si>
    <t xml:space="preserve">CCAV0029</t>
  </si>
  <si>
    <t xml:space="preserve">DIBUJO III </t>
  </si>
  <si>
    <t xml:space="preserve">EXPERIENCIAS DIGITALES INMERSIVAS (METAVERSO)</t>
  </si>
  <si>
    <t xml:space="preserve">EXPE DIGI INME (MET</t>
  </si>
  <si>
    <t xml:space="preserve">CSCE2111</t>
  </si>
  <si>
    <t xml:space="preserve">EXPRESIÓN ORAL, NARRATIVA Y LITERATURA CREATIVA EN I Y II CICLOS</t>
  </si>
  <si>
    <t xml:space="preserve">EXPR ORAL NARR LITE CREA I </t>
  </si>
  <si>
    <t xml:space="preserve">CSCE0148</t>
  </si>
  <si>
    <t xml:space="preserve">EXPRESIONES IDIOMÁTICAS Y CULTURA HISPÁNICA</t>
  </si>
  <si>
    <t xml:space="preserve">EXPR IDIO CULT HISP</t>
  </si>
  <si>
    <t xml:space="preserve">CSCE0150</t>
  </si>
  <si>
    <t xml:space="preserve">FENÓMENOS NATURALES: UN ENFOQUE INTERDISCIPLINARIO EN CIENCIAS</t>
  </si>
  <si>
    <t xml:space="preserve">FENÓ NATU UN ENFO INTE CIEN</t>
  </si>
  <si>
    <t xml:space="preserve">POMA5032</t>
  </si>
  <si>
    <t xml:space="preserve">DIDÁCTICA GENERAL</t>
  </si>
  <si>
    <t xml:space="preserve">FILOSOFÍA Y ÉTICA EDUCATIVA EN EL SIGLO XXI</t>
  </si>
  <si>
    <t xml:space="preserve">FILO ÉTICA EDUC SIGLO XXI</t>
  </si>
  <si>
    <t xml:space="preserve">AHCN2095</t>
  </si>
  <si>
    <t xml:space="preserve">FÍSICA GENERAL I: TEORÍA Y LABORATORIO</t>
  </si>
  <si>
    <t xml:space="preserve">FÍSICA GENE I TEORÍA LABO</t>
  </si>
  <si>
    <t xml:space="preserve">POMA5047</t>
  </si>
  <si>
    <t xml:space="preserve">FÍSICA GENERAL II: TEORÍA Y LABORATORIO</t>
  </si>
  <si>
    <t xml:space="preserve">FÍSICA GENE II TEORÍA LABO</t>
  </si>
  <si>
    <t xml:space="preserve">INIG2016</t>
  </si>
  <si>
    <t xml:space="preserve">DISEÑO DE EXPERIMENTOS</t>
  </si>
  <si>
    <t xml:space="preserve">FÍSICA MODERNA PARA LA ENSEÑANZA DE LAS CIENCIAS</t>
  </si>
  <si>
    <t xml:space="preserve">FÍSICA MODE ENSE CIEN</t>
  </si>
  <si>
    <t xml:space="preserve">CCAV0031</t>
  </si>
  <si>
    <t xml:space="preserve">DISEÑO DE IMAGEN I </t>
  </si>
  <si>
    <t xml:space="preserve">FONÉTICA Y FONOLOGÍA DE LA LENGUA ESPAÑOLA</t>
  </si>
  <si>
    <t xml:space="preserve">FONÉ FONO LENGUA ESPA</t>
  </si>
  <si>
    <t xml:space="preserve">CCAV0035</t>
  </si>
  <si>
    <t xml:space="preserve">DISEÑO DE IMAGEN II</t>
  </si>
  <si>
    <t xml:space="preserve">FORMULACIÓN Y EVALUACIÓN DE PROYECTOS</t>
  </si>
  <si>
    <t xml:space="preserve">FORM EVAL PROY</t>
  </si>
  <si>
    <t xml:space="preserve">POMA5039</t>
  </si>
  <si>
    <t xml:space="preserve">FORMULACIÓN Y EVALUACIÓN DE PROYECTOS DE COMUNICACIÓN</t>
  </si>
  <si>
    <t xml:space="preserve">FORM EVAL PROY COMU</t>
  </si>
  <si>
    <t xml:space="preserve">ECTE6110</t>
  </si>
  <si>
    <t xml:space="preserve">DISEÑO DE PLANTA</t>
  </si>
  <si>
    <t xml:space="preserve">FUENTES Y PERSPECTIVAS DEL CURRÍCULO</t>
  </si>
  <si>
    <t xml:space="preserve">FUEN PERS CURR</t>
  </si>
  <si>
    <t xml:space="preserve">ECTE6120</t>
  </si>
  <si>
    <t xml:space="preserve">FUNCIONES DE VARIABLE COMPLEJA</t>
  </si>
  <si>
    <t xml:space="preserve">FUNC VARI COMP</t>
  </si>
  <si>
    <t xml:space="preserve">POMA5065</t>
  </si>
  <si>
    <t xml:space="preserve">FUNDAMENTOS DE GEOMETRÍA EUCLIDIANA</t>
  </si>
  <si>
    <t xml:space="preserve">FUND GEOM EUCL</t>
  </si>
  <si>
    <t xml:space="preserve">AHCN2080</t>
  </si>
  <si>
    <t xml:space="preserve">FUNDAMENTOS DE LA EDUCACIÓN COSTARRICENSE</t>
  </si>
  <si>
    <t xml:space="preserve">FUND EDUC COST</t>
  </si>
  <si>
    <t xml:space="preserve">CCAV0039</t>
  </si>
  <si>
    <t xml:space="preserve">FUNDAMENTOS DE NEUROMARKETING</t>
  </si>
  <si>
    <t xml:space="preserve">FUND NEUR</t>
  </si>
  <si>
    <t xml:space="preserve">CSCE0158</t>
  </si>
  <si>
    <t xml:space="preserve">FUNDAMENTOS DEL PENSAMIENTO MATEMÁTICO</t>
  </si>
  <si>
    <t xml:space="preserve">FUND PENS MATE</t>
  </si>
  <si>
    <t xml:space="preserve">CCAV0037</t>
  </si>
  <si>
    <t xml:space="preserve">DISEÑO EDITORIAL </t>
  </si>
  <si>
    <t xml:space="preserve">GAMIFICACIÓN Y APRENDIZAJE BASADO EN JUEGOS</t>
  </si>
  <si>
    <t xml:space="preserve">GAMI APRE BASADO JUEGOS</t>
  </si>
  <si>
    <t xml:space="preserve">CCAV0026</t>
  </si>
  <si>
    <t xml:space="preserve">DISEÑO I</t>
  </si>
  <si>
    <t xml:space="preserve">GEOGRAFÍA Y EDUCACIÓN AMBIENTAL PARA LA SOSTENIBILIDAD</t>
  </si>
  <si>
    <t xml:space="preserve">GEOG EDUC AMBI SOST</t>
  </si>
  <si>
    <t xml:space="preserve">CCAV0028</t>
  </si>
  <si>
    <t xml:space="preserve">DISEÑO II</t>
  </si>
  <si>
    <t xml:space="preserve">GEOMETRÍA ANALÍTICA Y VISUALIZACIÓN MATEMÁTICA</t>
  </si>
  <si>
    <t xml:space="preserve">GEOM ANAL VISU MATE</t>
  </si>
  <si>
    <t xml:space="preserve">CCAV0030</t>
  </si>
  <si>
    <t xml:space="preserve">DISEÑO III</t>
  </si>
  <si>
    <t xml:space="preserve">GEOMETRÍA EUCLIDIANA AVANZADA Y TRANSFORMACIONES</t>
  </si>
  <si>
    <t xml:space="preserve">GEOM EUCL AVAN TRAN</t>
  </si>
  <si>
    <t xml:space="preserve">CCAV0034</t>
  </si>
  <si>
    <t xml:space="preserve">DISEÑO UX - UI</t>
  </si>
  <si>
    <t xml:space="preserve">GEOPOLÍTICA Y ANÁLISIS REGIONAL CONTEMPORÁNEO</t>
  </si>
  <si>
    <t xml:space="preserve">GEOP ANÁL REGI CONT</t>
  </si>
  <si>
    <t xml:space="preserve">CCAV0032</t>
  </si>
  <si>
    <t xml:space="preserve">DISEÑO VECTORIAL I </t>
  </si>
  <si>
    <t xml:space="preserve">GERENCIA DE PRODUCTO Y MARCA</t>
  </si>
  <si>
    <t xml:space="preserve">GERE PROD MARCA</t>
  </si>
  <si>
    <t xml:space="preserve">CCAV0036</t>
  </si>
  <si>
    <t xml:space="preserve">DISEÑO VECTORIAL II</t>
  </si>
  <si>
    <t xml:space="preserve">GESTIÓN CULTURAL EN ENTORNOS EDUCATIVOS</t>
  </si>
  <si>
    <t xml:space="preserve">GEST CULT ENTO EDUC</t>
  </si>
  <si>
    <t xml:space="preserve">CCAV0038</t>
  </si>
  <si>
    <t xml:space="preserve">DISEÑO WEB </t>
  </si>
  <si>
    <t xml:space="preserve">GESTIÓN DE CALIDAD APLICADA A INVENTARIOS</t>
  </si>
  <si>
    <t xml:space="preserve">GEST CAL APLI INVE</t>
  </si>
  <si>
    <t xml:space="preserve">CSCE0170</t>
  </si>
  <si>
    <t xml:space="preserve">POMA5068</t>
  </si>
  <si>
    <t xml:space="preserve">DOCENCIA UNIVERSITARIA</t>
  </si>
  <si>
    <t xml:space="preserve">GESTIÓN DE ENTIDADES FINANCIERAS</t>
  </si>
  <si>
    <t xml:space="preserve">GEST ENTI FINA</t>
  </si>
  <si>
    <t xml:space="preserve">CNCA0005</t>
  </si>
  <si>
    <t xml:space="preserve">GESTIÓN DE LA CALIDAD EN LA EVALUACIÓN EDUCATIVA</t>
  </si>
  <si>
    <t xml:space="preserve">GEST CAL EVAL EDUC</t>
  </si>
  <si>
    <t xml:space="preserve">CSCE0242</t>
  </si>
  <si>
    <t xml:space="preserve">GESTIÓN DE RECURSOS HUMANOS EN ENTORNOS EDUCATIVOS</t>
  </si>
  <si>
    <t xml:space="preserve">GEST RR HH ENTO EDUC</t>
  </si>
  <si>
    <t xml:space="preserve">CSCE0226</t>
  </si>
  <si>
    <t xml:space="preserve">GESTIÓN DE RECURSOS HUMANOS POR COMPETENCIAS</t>
  </si>
  <si>
    <t xml:space="preserve">GEST RR HH COMP</t>
  </si>
  <si>
    <t xml:space="preserve">CSCE0159</t>
  </si>
  <si>
    <t xml:space="preserve">GESTIÓN DEL CAMBIO EN LA EDUCACIÓN</t>
  </si>
  <si>
    <t xml:space="preserve">GEST CAMBIO EDUC</t>
  </si>
  <si>
    <t xml:space="preserve">CSCE0225</t>
  </si>
  <si>
    <t xml:space="preserve">GLOBALIZACIÓN Y SOCIEDAD CONTEMPORÁNEA</t>
  </si>
  <si>
    <t xml:space="preserve">GLOB SOCI CONT</t>
  </si>
  <si>
    <t xml:space="preserve">POMA5023</t>
  </si>
  <si>
    <t xml:space="preserve">GOBIERNO, GOBERNANZA Y CONTROL INTERNO</t>
  </si>
  <si>
    <t xml:space="preserve">GOBI GOBE CONT INTE</t>
  </si>
  <si>
    <t xml:space="preserve">CSCE2127</t>
  </si>
  <si>
    <t xml:space="preserve">GRAMÁTICA ESPAÑOLA: TEORÍA Y ENSEÑANZA</t>
  </si>
  <si>
    <t xml:space="preserve">GRAM ESPA TEORÍA ENSE</t>
  </si>
  <si>
    <t xml:space="preserve">CJJU0075</t>
  </si>
  <si>
    <t xml:space="preserve">EJERCICIOS JURÍDICOS I</t>
  </si>
  <si>
    <t xml:space="preserve">HABILIDADES DIRECTIVAS Y PRESUPUESTOS</t>
  </si>
  <si>
    <t xml:space="preserve">HABI DIRE PRES</t>
  </si>
  <si>
    <t xml:space="preserve">CJJU2028</t>
  </si>
  <si>
    <t xml:space="preserve">EJERCICIOS JURÍDICOS II</t>
  </si>
  <si>
    <t xml:space="preserve">HABILIDADES DOCENTES PARA LA COMUNICACIÓN</t>
  </si>
  <si>
    <t xml:space="preserve">HABI DOCE COMU</t>
  </si>
  <si>
    <t xml:space="preserve">AHCN2068</t>
  </si>
  <si>
    <t xml:space="preserve">ELECTIVA</t>
  </si>
  <si>
    <t xml:space="preserve">HERRAMIENTAS AVANZADAS DE CALIDAD</t>
  </si>
  <si>
    <t xml:space="preserve">HERR AVAN CAL</t>
  </si>
  <si>
    <t xml:space="preserve">AHCN2086</t>
  </si>
  <si>
    <t xml:space="preserve">HERRAMIENTAS DE CALIDAD PARA LA MEJORA CONTINUA</t>
  </si>
  <si>
    <t xml:space="preserve">HERR CAL MEJORA CONT</t>
  </si>
  <si>
    <t xml:space="preserve">AHCN2097</t>
  </si>
  <si>
    <t xml:space="preserve">AHCN2075</t>
  </si>
  <si>
    <t xml:space="preserve">HISTORIA CONTEMPORÁNEA DE COSTA RICA I</t>
  </si>
  <si>
    <t xml:space="preserve">HIST CONT COSTA RICA I</t>
  </si>
  <si>
    <t xml:space="preserve">CCCO0034</t>
  </si>
  <si>
    <t xml:space="preserve">HISTORIA CONTEMPORÁNEA DE COSTA RICA II</t>
  </si>
  <si>
    <t xml:space="preserve">HIST CONT COSTA RICA II</t>
  </si>
  <si>
    <t xml:space="preserve">CCCO2019</t>
  </si>
  <si>
    <t xml:space="preserve">HISTORIA Y APRECIACIÓN DEL ARTE</t>
  </si>
  <si>
    <t xml:space="preserve">HIST APRE ARTE</t>
  </si>
  <si>
    <t xml:space="preserve">CCAV0041</t>
  </si>
  <si>
    <t xml:space="preserve">ELECTIVA 2</t>
  </si>
  <si>
    <t xml:space="preserve">HISTORIA Y CULTURA DE COSTA RICA I</t>
  </si>
  <si>
    <t xml:space="preserve">HIST CULT COSTA RICA I</t>
  </si>
  <si>
    <t xml:space="preserve">CSCE0154</t>
  </si>
  <si>
    <t xml:space="preserve">ELECTIVA AVANZADA</t>
  </si>
  <si>
    <t xml:space="preserve">HISTORIA Y CULTURA DE COSTA RICA II</t>
  </si>
  <si>
    <t xml:space="preserve">HIST CULT COSTA RICA II</t>
  </si>
  <si>
    <t xml:space="preserve">CSCE0180</t>
  </si>
  <si>
    <t xml:space="preserve">HISTORIA, CULTURA Y EPISTEMOLOGÍA DE LA MATEMÁTICA</t>
  </si>
  <si>
    <t xml:space="preserve">HIST CULT EPIS MATE</t>
  </si>
  <si>
    <t xml:space="preserve">CSCE0201</t>
  </si>
  <si>
    <t xml:space="preserve">INDAGACIÓN, CIENCIA Y EXPLORACIÓN DEL ENTORNO EN I Y II CICLOS</t>
  </si>
  <si>
    <t xml:space="preserve">INDA CIEN EXPL ENTO I II CI</t>
  </si>
  <si>
    <t xml:space="preserve">CSCE0223</t>
  </si>
  <si>
    <t xml:space="preserve">INDICADORES DE DESEMPEÑO EDUCATIVO Y RUTAS DE APRENDIZAJE</t>
  </si>
  <si>
    <t xml:space="preserve">INDI DESE EDUC RUTAS APRE</t>
  </si>
  <si>
    <t xml:space="preserve">CSCE0244</t>
  </si>
  <si>
    <t xml:space="preserve">INNOVACIÓN CURRICULAR EN LA ENSEÑANZA DE LAS CIENCIAS</t>
  </si>
  <si>
    <t xml:space="preserve">INNO CURR ENSE CIEN</t>
  </si>
  <si>
    <t xml:space="preserve">CSID0107</t>
  </si>
  <si>
    <t xml:space="preserve">ELECTIVA DE IDIOMA</t>
  </si>
  <si>
    <t xml:space="preserve">INNOVACIÓN TECNOLÓGICA PARA LA INCLUSIÓN EDUCATIVA</t>
  </si>
  <si>
    <t xml:space="preserve">INNO TECN INCL EDUC</t>
  </si>
  <si>
    <t xml:space="preserve">CSCE0147</t>
  </si>
  <si>
    <t xml:space="preserve">INTEGRACIÓN DE SABERES MATEMÁTICOS AVANZADOS Y MODELACIÓN</t>
  </si>
  <si>
    <t xml:space="preserve">INTE SABE MATE AVAN MODE</t>
  </si>
  <si>
    <t xml:space="preserve">CSCE0156</t>
  </si>
  <si>
    <t xml:space="preserve">EMPRENDIMIENTO EN EDUCACIÓN</t>
  </si>
  <si>
    <t xml:space="preserve">INTELIGENCIA ARTIFICIAL EN EDUCACIÓN</t>
  </si>
  <si>
    <t xml:space="preserve">INTE ARTI EDUC</t>
  </si>
  <si>
    <t xml:space="preserve">CSCE0241</t>
  </si>
  <si>
    <t xml:space="preserve">ENSEÑANZA DE LA GEOMETRÍA</t>
  </si>
  <si>
    <t xml:space="preserve">INTRODUCCIÓN A LA CALIDAD Y CADENA DE SUMINISTRO</t>
  </si>
  <si>
    <t xml:space="preserve">INTR CAL CADENA SUMI</t>
  </si>
  <si>
    <t xml:space="preserve">CSCE0209</t>
  </si>
  <si>
    <t xml:space="preserve">CSCE0207</t>
  </si>
  <si>
    <t xml:space="preserve">INTRODUCCIÓN A LA ESTADÍSTICA INFERENCIAL APLICADA A LAS EMPRESAS</t>
  </si>
  <si>
    <t xml:space="preserve">INTR ESTA INFE APLI EMPR</t>
  </si>
  <si>
    <t xml:space="preserve">CSCE0214</t>
  </si>
  <si>
    <t xml:space="preserve">CSCE0216</t>
  </si>
  <si>
    <t xml:space="preserve">INTRODUCCIÓN A LA LINGÜÍSTICA</t>
  </si>
  <si>
    <t xml:space="preserve">INTR LING</t>
  </si>
  <si>
    <t xml:space="preserve">CSCE0206</t>
  </si>
  <si>
    <t xml:space="preserve">INTRODUCCIÓN A LA PUBLICIDAD</t>
  </si>
  <si>
    <t xml:space="preserve">INTR PUBL</t>
  </si>
  <si>
    <t xml:space="preserve">CSCE0212</t>
  </si>
  <si>
    <t xml:space="preserve">INTRODUCCIÓN A LAS RELACIONES PUBLICAS</t>
  </si>
  <si>
    <t xml:space="preserve">INTR RELA PUBL</t>
  </si>
  <si>
    <t xml:space="preserve">CSCE0210</t>
  </si>
  <si>
    <t xml:space="preserve">ENSEÑANZA DEL ESPAÑOL I</t>
  </si>
  <si>
    <t xml:space="preserve">INTRODUCCIÓN A LOS ESTUDIOS SOCIALES</t>
  </si>
  <si>
    <t xml:space="preserve">INTR ESTU SOCI</t>
  </si>
  <si>
    <t xml:space="preserve">CSCE0217</t>
  </si>
  <si>
    <t xml:space="preserve">ENSEÑANZA DEL ESPAÑOL II</t>
  </si>
  <si>
    <t xml:space="preserve">LIDERAZGO DE PROYECTOS EDUCATIVOS</t>
  </si>
  <si>
    <t xml:space="preserve">LIDE PROY EDUC</t>
  </si>
  <si>
    <t xml:space="preserve">CSCE0141</t>
  </si>
  <si>
    <t xml:space="preserve">LIDERAZGO Y GESTIÓN EDUCATIVA TRANSFORMADORA</t>
  </si>
  <si>
    <t xml:space="preserve">LIDE GEST EDUC TRAN</t>
  </si>
  <si>
    <t xml:space="preserve">CSCE0132</t>
  </si>
  <si>
    <t xml:space="preserve">LOGÍSTICA Y CADENA DE SUMINISTROS</t>
  </si>
  <si>
    <t xml:space="preserve">LOG CADENA SUMI</t>
  </si>
  <si>
    <t xml:space="preserve">CSCE0164</t>
  </si>
  <si>
    <t xml:space="preserve">LOGÍSTICA Y CANALES DE DISTRIBUCIÓN</t>
  </si>
  <si>
    <t xml:space="preserve">LOG CANA DIST</t>
  </si>
  <si>
    <t xml:space="preserve">CSCE0175</t>
  </si>
  <si>
    <t xml:space="preserve">MATEMÁTICA DISCRETA Y RAZONAMIENTO LÓGICO</t>
  </si>
  <si>
    <t xml:space="preserve">MATE DISC RAZO LÓGICO</t>
  </si>
  <si>
    <t xml:space="preserve">CSCE0165</t>
  </si>
  <si>
    <t xml:space="preserve">MATEMÁTICA PARA LA ENSEÑANZA DE LAS CIENCIAS</t>
  </si>
  <si>
    <t xml:space="preserve">MATE ENSE CIEN</t>
  </si>
  <si>
    <t xml:space="preserve">CNCX0070</t>
  </si>
  <si>
    <t xml:space="preserve">METODOLOGÍA DE LA INVESTIGACIÓN</t>
  </si>
  <si>
    <t xml:space="preserve">METOD INVEST</t>
  </si>
  <si>
    <t xml:space="preserve">CSCE2104</t>
  </si>
  <si>
    <t xml:space="preserve">METODOLOGÍA DE LA INVESTIGACIÓN EDUCATIVA</t>
  </si>
  <si>
    <t xml:space="preserve">METOD INVEST EDUC</t>
  </si>
  <si>
    <t xml:space="preserve">CSCE0238</t>
  </si>
  <si>
    <t xml:space="preserve">ESTADÍSTICA INFERENCIAL</t>
  </si>
  <si>
    <t xml:space="preserve">METODOLOGÍA DE LA INVESTIGACIÓN EDUCATIVA I</t>
  </si>
  <si>
    <t xml:space="preserve">METOD INVEST EDUC I</t>
  </si>
  <si>
    <t xml:space="preserve">CSCE0236</t>
  </si>
  <si>
    <t xml:space="preserve">METODOLOGÍA DE LA INVESTIGACIÓN EDUCATIVA II</t>
  </si>
  <si>
    <t xml:space="preserve">METOD INVEST EDUC II</t>
  </si>
  <si>
    <t xml:space="preserve">CCCO0026</t>
  </si>
  <si>
    <t xml:space="preserve">ESTRATEGIA DE MEDIOS</t>
  </si>
  <si>
    <t xml:space="preserve">METODOLOGÍA DE LA INVESTIGACIÓN EN LA ENSEÑANZA DE LAS CIENCIAS</t>
  </si>
  <si>
    <t xml:space="preserve">METOD INVEST ENSE CIEN</t>
  </si>
  <si>
    <t xml:space="preserve">CCCO2023</t>
  </si>
  <si>
    <t xml:space="preserve">ESTRATEGIA DIGITAL </t>
  </si>
  <si>
    <t xml:space="preserve">MÉTODOS DE INVESTIGACIÓN Y RAZONAMIENTO EN CIENCIAS JURÍDICAS</t>
  </si>
  <si>
    <t xml:space="preserve">MÉTO INVEST RAZO CIEN JURÍ</t>
  </si>
  <si>
    <t xml:space="preserve">CCCO2018</t>
  </si>
  <si>
    <t xml:space="preserve">MÉTODOS DE REPRODUCCIÓN GRÁFICA</t>
  </si>
  <si>
    <t xml:space="preserve">MÉTO REPR GRÁF</t>
  </si>
  <si>
    <t xml:space="preserve">ECTE6123</t>
  </si>
  <si>
    <t xml:space="preserve">MÉTODOS INTEGRADOS DE COMUNICACIÓN MODERNA</t>
  </si>
  <si>
    <t xml:space="preserve">MÉTO INTE COMU MODE</t>
  </si>
  <si>
    <t xml:space="preserve">ECTE6097</t>
  </si>
  <si>
    <t xml:space="preserve">ESTRATEGIA Y DISEÑO DE LA CADENA DE SUMINISTRO </t>
  </si>
  <si>
    <t xml:space="preserve">MÉTODOS NUMÉRICOS Y TECNOLOGÍA MATEMÁTICA</t>
  </si>
  <si>
    <t xml:space="preserve">MÉTO NUMÉ TECN MATE</t>
  </si>
  <si>
    <t xml:space="preserve">CSCE2139</t>
  </si>
  <si>
    <t xml:space="preserve">MODELIZACIÓN MATEMÁTICA Y ENSEÑANZA STEM</t>
  </si>
  <si>
    <t xml:space="preserve">MODE MATE ENSE STEM</t>
  </si>
  <si>
    <t xml:space="preserve">POMA5067</t>
  </si>
  <si>
    <t xml:space="preserve">MODELOS Y ESTRATEGIAS DE ENSEÑANZA INCLUSIVA</t>
  </si>
  <si>
    <t xml:space="preserve">MODE ESTR ENSE INCL</t>
  </si>
  <si>
    <t xml:space="preserve">ECTE6118</t>
  </si>
  <si>
    <t xml:space="preserve">MODELOS Y ESTRATEGIAS DE INNOVACIÓN EDUCATIVA</t>
  </si>
  <si>
    <t xml:space="preserve">MODE ESTR INNO EDUC</t>
  </si>
  <si>
    <t xml:space="preserve">ECTE6108</t>
  </si>
  <si>
    <t xml:space="preserve">ESTUDIO DEL TIEMPO Y MOVIMIENTOS </t>
  </si>
  <si>
    <t xml:space="preserve">MORFOSINTAXIS DE LA LENGUA ESPAÑOLA I</t>
  </si>
  <si>
    <t xml:space="preserve">MORF LENGUA ESPA I</t>
  </si>
  <si>
    <t xml:space="preserve">CCCO0030</t>
  </si>
  <si>
    <t xml:space="preserve">MORFOSINTAXIS DE LA LENGUA ESPAÑOLA II</t>
  </si>
  <si>
    <t xml:space="preserve">MORF LENGUA ESPA II</t>
  </si>
  <si>
    <t xml:space="preserve">POMA5027</t>
  </si>
  <si>
    <t xml:space="preserve">MOVIMIENTO Y DESARROLLO PSICOMOTOR</t>
  </si>
  <si>
    <t xml:space="preserve">MOVI DESA PSIC</t>
  </si>
  <si>
    <t xml:space="preserve">CSCE2109</t>
  </si>
  <si>
    <t xml:space="preserve">NEURODIDÁCTICA Y APRENDIZAJE EN I Y II CICLOS</t>
  </si>
  <si>
    <t xml:space="preserve">NEUR APRE I II CICLOS</t>
  </si>
  <si>
    <t xml:space="preserve">POMA5073</t>
  </si>
  <si>
    <t xml:space="preserve">EVALUACIÓN CURRICULAR</t>
  </si>
  <si>
    <t xml:space="preserve">PARADIGMAS MODERNOS EN EDUCACIÓN</t>
  </si>
  <si>
    <t xml:space="preserve">PARA MODE EDUC</t>
  </si>
  <si>
    <t xml:space="preserve">POMA5042</t>
  </si>
  <si>
    <t xml:space="preserve">PATRIMONIO CULTURAL, MUSEOLOGÍA Y EDUCACIÓN HISTÓRICA</t>
  </si>
  <si>
    <t xml:space="preserve">PATR CULT MUSE EDUC HIST</t>
  </si>
  <si>
    <t xml:space="preserve">CSCE0135</t>
  </si>
  <si>
    <t xml:space="preserve">PEDAGOGÍA: ENFOQUES, MÉTODOS Y ESTRATEGIAS</t>
  </si>
  <si>
    <t xml:space="preserve">PEDA ENFO MÉTO ESTR</t>
  </si>
  <si>
    <t xml:space="preserve">CSCE2102</t>
  </si>
  <si>
    <t xml:space="preserve">PENSAMIENTO ECONÓMICO Y TRANSFORMACIONES SOCIALES</t>
  </si>
  <si>
    <t xml:space="preserve">PENS ECON TRAN SOCI</t>
  </si>
  <si>
    <t xml:space="preserve">POMA5034</t>
  </si>
  <si>
    <t xml:space="preserve">PENSAMIENTO MATEMÁTICO Y RESOLUCIÓN DE PROBLEMAS EN I Y II CICLOS</t>
  </si>
  <si>
    <t xml:space="preserve">PENS MATE RESO PROB I II CI</t>
  </si>
  <si>
    <t xml:space="preserve">POMA5043</t>
  </si>
  <si>
    <t xml:space="preserve">PERSPECTIVAS CRÍTICAS DE LA TEORÍA LITERARIA</t>
  </si>
  <si>
    <t xml:space="preserve">PERS CRÍT TEORÍA LITE</t>
  </si>
  <si>
    <t xml:space="preserve">POMA5066</t>
  </si>
  <si>
    <t xml:space="preserve">PERSPECTIVAS CRÍTICAS EN EL ANÁLISIS DE TEXTOS</t>
  </si>
  <si>
    <t xml:space="preserve">PERS CRÍT ANÁL TEXTOS</t>
  </si>
  <si>
    <t xml:space="preserve">CSCE0173</t>
  </si>
  <si>
    <t xml:space="preserve">PLANEAMIENTO Y DISEÑO DE AMBIENTES DE APRENDIZAJE</t>
  </si>
  <si>
    <t xml:space="preserve">PLAN DISEÑO AMBI APRE</t>
  </si>
  <si>
    <t xml:space="preserve">AHCN2084</t>
  </si>
  <si>
    <t xml:space="preserve">PLANIFICACIÓN POR RESULTADOS</t>
  </si>
  <si>
    <t xml:space="preserve">PLAN RESU</t>
  </si>
  <si>
    <t xml:space="preserve">POMA5052</t>
  </si>
  <si>
    <t xml:space="preserve">PLANIFICACIÓN PRESUPUESTAL EN EDUCACIÓN</t>
  </si>
  <si>
    <t xml:space="preserve">PLAN PRES EDUC</t>
  </si>
  <si>
    <t xml:space="preserve">CSCE0220</t>
  </si>
  <si>
    <t xml:space="preserve">PLATAFORMAS DE APRENDIZAJE DIGITAL</t>
  </si>
  <si>
    <t xml:space="preserve">PLAT APRE DIGI</t>
  </si>
  <si>
    <t xml:space="preserve">CSCE0184</t>
  </si>
  <si>
    <t xml:space="preserve">PLATAFORMAS Y HERRAMIENTAS DIGITALES</t>
  </si>
  <si>
    <t xml:space="preserve">PLAT HERR DIGI</t>
  </si>
  <si>
    <t xml:space="preserve">CNCA0003</t>
  </si>
  <si>
    <t xml:space="preserve">PRÁCTICA INTEGRADA DE DISEÑO</t>
  </si>
  <si>
    <t xml:space="preserve">PRÁC INTE DISEÑO</t>
  </si>
  <si>
    <t xml:space="preserve">CJJU0037</t>
  </si>
  <si>
    <t xml:space="preserve">FILOSOFÍA DEL DERECHO</t>
  </si>
  <si>
    <t xml:space="preserve">PRÁCTICA INTEGRADA DE PUBLICIDAD</t>
  </si>
  <si>
    <t xml:space="preserve">PRÁC INTE PUBL</t>
  </si>
  <si>
    <t xml:space="preserve">POMA5025</t>
  </si>
  <si>
    <t xml:space="preserve">PRESENTACIÓN PROYECTOS PUBLICITARIOS</t>
  </si>
  <si>
    <t xml:space="preserve">PRES PROY PUBL</t>
  </si>
  <si>
    <t xml:space="preserve">CNCX0071</t>
  </si>
  <si>
    <t xml:space="preserve">PROCESOS DE RESOLUCIÓN ALTERNATIVA DE CONFLICTOS Y NEGOCIACIÓN</t>
  </si>
  <si>
    <t xml:space="preserve">PROC RESO ALTE CONF NEGO</t>
  </si>
  <si>
    <t xml:space="preserve">CNCX0073</t>
  </si>
  <si>
    <t xml:space="preserve">PSICOLOGÍA DEL APRENDIZAJE EN LA EDUCACIÓN DE ADULTOS</t>
  </si>
  <si>
    <t xml:space="preserve">PSIC APRE EDUC ADUL</t>
  </si>
  <si>
    <t xml:space="preserve">CSCE2103</t>
  </si>
  <si>
    <t xml:space="preserve">PSICOLOGÍA EDUCATIVA: DESARROLLO Y COGNICIÓN</t>
  </si>
  <si>
    <t xml:space="preserve">PSIC EDUC DESA COGN</t>
  </si>
  <si>
    <t xml:space="preserve">CSCE2120</t>
  </si>
  <si>
    <t xml:space="preserve">QUÍMICA GENERAL I: TEORÍA Y LABORATORIO</t>
  </si>
  <si>
    <t xml:space="preserve">QUÍM GENE I TEORÍA LABO</t>
  </si>
  <si>
    <t xml:space="preserve">CSCE0191</t>
  </si>
  <si>
    <t xml:space="preserve">FORMACIÓN CIUDADANA </t>
  </si>
  <si>
    <t xml:space="preserve">QUÍMICA GENERAL II: TEORÍA Y LABORATORIO</t>
  </si>
  <si>
    <t xml:space="preserve">QUÍM GENE II TEORÍA LABO</t>
  </si>
  <si>
    <t xml:space="preserve">INIG2018</t>
  </si>
  <si>
    <t xml:space="preserve">FORMULACIÓN Y EVALUACIÓN DE PROYECTOS </t>
  </si>
  <si>
    <t xml:space="preserve">FORMU Y EVAL PROYECTOS </t>
  </si>
  <si>
    <t xml:space="preserve">QUÍMICA MODERNA PARA LA ENSEÑANZA DE LAS CIENCIAS</t>
  </si>
  <si>
    <t xml:space="preserve">QUÍM MODE ENSE CIEN</t>
  </si>
  <si>
    <t xml:space="preserve">CCCO2013</t>
  </si>
  <si>
    <t xml:space="preserve">RELACIONES CONTRACTUALES LABORALES</t>
  </si>
  <si>
    <t xml:space="preserve">RELA CONT LABO</t>
  </si>
  <si>
    <t xml:space="preserve">CSCE0136</t>
  </si>
  <si>
    <t xml:space="preserve">RESOLUCIÓN DE PROBLEMAS, RAZONAMIENTO Y PENSAMIENTO MATEMÁTICO</t>
  </si>
  <si>
    <t xml:space="preserve">RESO PROB RAZO PENS MATE</t>
  </si>
  <si>
    <t xml:space="preserve">CSCE2146</t>
  </si>
  <si>
    <t xml:space="preserve">SEGURIDAD Y ÉTICA EN EL USO DE TECNOLOGÍAS EDUCATIVAS</t>
  </si>
  <si>
    <t xml:space="preserve">SEGU ÉTICA USO TEC EDUC</t>
  </si>
  <si>
    <t xml:space="preserve">CSCE0234</t>
  </si>
  <si>
    <t xml:space="preserve">SEMÁNTICA DE LA LENGUA ESPAÑOLA</t>
  </si>
  <si>
    <t xml:space="preserve">SEMÁ LENGUA ESPA</t>
  </si>
  <si>
    <t xml:space="preserve">CSCE0130</t>
  </si>
  <si>
    <t xml:space="preserve">SEMINARIO DE INNOVACIÓN EN EDUCACIÓN</t>
  </si>
  <si>
    <t xml:space="preserve">SEMI INNO EDUC</t>
  </si>
  <si>
    <t xml:space="preserve">CSCE0188</t>
  </si>
  <si>
    <t xml:space="preserve">FUNDAMENTOS DE LA GEOGRAFÍA</t>
  </si>
  <si>
    <t xml:space="preserve">SEMINARIO DE LENGUAS CLÁSICAS</t>
  </si>
  <si>
    <t xml:space="preserve">SEMI LENG CLÁS</t>
  </si>
  <si>
    <t xml:space="preserve">CCAV0033</t>
  </si>
  <si>
    <t xml:space="preserve">SEMIÓTICA DE LA LENGUA ESPAÑOLA</t>
  </si>
  <si>
    <t xml:space="preserve">SEMI LENGUA ESPA</t>
  </si>
  <si>
    <t xml:space="preserve">CSCE0228</t>
  </si>
  <si>
    <t xml:space="preserve">SISTEMA DE GESTIÓN DE CALIDAD METROLOGÍA Y NORMALIZACIÓN</t>
  </si>
  <si>
    <t xml:space="preserve">SIST GEST CAL METR NORM</t>
  </si>
  <si>
    <t xml:space="preserve">POMA5036</t>
  </si>
  <si>
    <t xml:space="preserve">CSCE0204</t>
  </si>
  <si>
    <t xml:space="preserve">SOSTENIBILIDAD ORGANIZACIONAL</t>
  </si>
  <si>
    <t xml:space="preserve">SOST ORGA</t>
  </si>
  <si>
    <t xml:space="preserve">CSCE0240</t>
  </si>
  <si>
    <t xml:space="preserve">SUPERVISIÓN Y EVALUACIÓN PARA EL DESARROLLO EDUCATIVO</t>
  </si>
  <si>
    <t xml:space="preserve">SUPE EVAL DESA EDUC</t>
  </si>
  <si>
    <t xml:space="preserve">CSCE0237</t>
  </si>
  <si>
    <t xml:space="preserve">TALLER DE DISEÑO INSTRUCCIONAL</t>
  </si>
  <si>
    <t xml:space="preserve">TALLER DISEÑO INST</t>
  </si>
  <si>
    <t xml:space="preserve">CSCE2130</t>
  </si>
  <si>
    <t xml:space="preserve">TALLER DE EVALUACIÓN DE LOS APRENDIZAJES</t>
  </si>
  <si>
    <t xml:space="preserve">TALLER EVAL APRE</t>
  </si>
  <si>
    <t xml:space="preserve">AHCN2099</t>
  </si>
  <si>
    <t xml:space="preserve">TALLER DE INVESTIGACIÓN EDUCATIVA I</t>
  </si>
  <si>
    <t xml:space="preserve">TALLER INVEST EDUC I</t>
  </si>
  <si>
    <t xml:space="preserve">AHCN2085</t>
  </si>
  <si>
    <t xml:space="preserve">GERENCIA DE RIESGO</t>
  </si>
  <si>
    <t xml:space="preserve">TALLER DE INVESTIGACIÓN EDUCATIVA II</t>
  </si>
  <si>
    <t xml:space="preserve">TALLER INVEST EDUC II</t>
  </si>
  <si>
    <t xml:space="preserve">AHCN2100</t>
  </si>
  <si>
    <t xml:space="preserve">GERENCIA DE VENTAS</t>
  </si>
  <si>
    <t xml:space="preserve">TALLER DE MEDIACIÓN GEOGRÁFICA</t>
  </si>
  <si>
    <t xml:space="preserve">TALLER MEDI GEOG</t>
  </si>
  <si>
    <t xml:space="preserve">POMA5024</t>
  </si>
  <si>
    <t xml:space="preserve">TÉCNICAS DE NEGOCIACIÓN Y SOLUCIÓN DE CONFLICTOS</t>
  </si>
  <si>
    <t xml:space="preserve">TÉCN NEGO SOLU CONF</t>
  </si>
  <si>
    <t xml:space="preserve">ECTE6125</t>
  </si>
  <si>
    <t xml:space="preserve">GESTIÓN DE ALMACENES</t>
  </si>
  <si>
    <t xml:space="preserve">TECNOLOGÍAS EMERGENTES APLICADAS A LA ENSEÑANZA</t>
  </si>
  <si>
    <t xml:space="preserve">TEC EMER APLI ENSE</t>
  </si>
  <si>
    <t xml:space="preserve">ECTE6103</t>
  </si>
  <si>
    <t xml:space="preserve">GESTIÓN DE ALMACENES </t>
  </si>
  <si>
    <t xml:space="preserve">TENDENCIAS ACTUALES EN EDUCACIÓN Y PEDAGOGÍA</t>
  </si>
  <si>
    <t xml:space="preserve">TEND ACTU EDUC PEDA</t>
  </si>
  <si>
    <t xml:space="preserve">ECTE6099</t>
  </si>
  <si>
    <t xml:space="preserve">TENDENCIAS EMERGENTES EN INNOVACIÓN EDUCATIVA</t>
  </si>
  <si>
    <t xml:space="preserve">TEND EMER INNO EDUC</t>
  </si>
  <si>
    <t xml:space="preserve">ECTE6115</t>
  </si>
  <si>
    <t xml:space="preserve">TENDENCIAS EN DISEÑO CURRICULAR</t>
  </si>
  <si>
    <t xml:space="preserve">TEND DISEÑO CURR</t>
  </si>
  <si>
    <t xml:space="preserve">AHCN2090</t>
  </si>
  <si>
    <t xml:space="preserve">TENDENCIAS EN TECNOLOGÍA EDUCATIVA</t>
  </si>
  <si>
    <t xml:space="preserve">TEND TECN EDUC</t>
  </si>
  <si>
    <t xml:space="preserve">POMA5041</t>
  </si>
  <si>
    <t xml:space="preserve">TEORÍA DE NÚMEROS Y RAZONAMIENTO MATEMÁTICO</t>
  </si>
  <si>
    <t xml:space="preserve">TEORÍA NÚME RAZO MATE</t>
  </si>
  <si>
    <t xml:space="preserve">POMA5061</t>
  </si>
  <si>
    <t xml:space="preserve">TEORÍA Y TÉCNICAS DE LA COMUNICACIÓN</t>
  </si>
  <si>
    <t xml:space="preserve">TEORÍA TÉCN COMU</t>
  </si>
  <si>
    <t xml:space="preserve">AHCN2078</t>
  </si>
  <si>
    <t xml:space="preserve">TRANSPORTE Y DISTRIBUCIÓN LOGÍSTICA</t>
  </si>
  <si>
    <t xml:space="preserve">TRAN DIST LOG</t>
  </si>
  <si>
    <t xml:space="preserve">POMA5029</t>
  </si>
  <si>
    <t xml:space="preserve">AHCN2064</t>
  </si>
  <si>
    <t xml:space="preserve">GESTIÓN FINANCIERA </t>
  </si>
  <si>
    <t xml:space="preserve">VOCACIÓN Y COMPROMISO DEL PROFESIONAL EN EDUCACIÓN (RAC)</t>
  </si>
  <si>
    <t xml:space="preserve">VOCA COMP PROF EDUC (RAC)</t>
  </si>
  <si>
    <t xml:space="preserve">CSCE0199</t>
  </si>
  <si>
    <t xml:space="preserve">AHCN2067</t>
  </si>
  <si>
    <t xml:space="preserve">CSCE0176</t>
  </si>
  <si>
    <t xml:space="preserve">AHCN0202</t>
  </si>
  <si>
    <t xml:space="preserve">CSCE0151</t>
  </si>
  <si>
    <t xml:space="preserve">INIG2025</t>
  </si>
  <si>
    <t xml:space="preserve">ECTE6100</t>
  </si>
  <si>
    <t xml:space="preserve">HERRAMIENTAS DE CALIDAD PARA LA MEJORA CONTINUA </t>
  </si>
  <si>
    <t xml:space="preserve">HERR CAL EV CONTI</t>
  </si>
  <si>
    <t xml:space="preserve">ECTE6116</t>
  </si>
  <si>
    <t xml:space="preserve">CSCE0186</t>
  </si>
  <si>
    <t xml:space="preserve">HISTORIA ANTIGUA</t>
  </si>
  <si>
    <t xml:space="preserve">CSCE0196</t>
  </si>
  <si>
    <t xml:space="preserve">CSCE0198</t>
  </si>
  <si>
    <t xml:space="preserve">CSCE0193</t>
  </si>
  <si>
    <t xml:space="preserve">HISTORIA DE AMÉRICA I </t>
  </si>
  <si>
    <t xml:space="preserve">CSCE0194</t>
  </si>
  <si>
    <t xml:space="preserve">HISTORIA DE AMÉRICA II</t>
  </si>
  <si>
    <t xml:space="preserve">CJJU0035</t>
  </si>
  <si>
    <t xml:space="preserve">HISTORIA DEL DERECHO</t>
  </si>
  <si>
    <t xml:space="preserve">CSCE0187</t>
  </si>
  <si>
    <t xml:space="preserve">HISTORIA MEDIEVAL</t>
  </si>
  <si>
    <t xml:space="preserve">CSCE0190</t>
  </si>
  <si>
    <t xml:space="preserve">HISTORIA MUNDIAL I</t>
  </si>
  <si>
    <t xml:space="preserve">CSCE0197</t>
  </si>
  <si>
    <t xml:space="preserve">HISTORIA MUNDIAL II</t>
  </si>
  <si>
    <t xml:space="preserve">CCAV0024</t>
  </si>
  <si>
    <t xml:space="preserve">CSCE0189</t>
  </si>
  <si>
    <t xml:space="preserve">HISTORIA Y CULTURA DE COSTA RICA I </t>
  </si>
  <si>
    <t xml:space="preserve">CSCE0192</t>
  </si>
  <si>
    <t xml:space="preserve">CSCE0229</t>
  </si>
  <si>
    <t xml:space="preserve">CSCE0222</t>
  </si>
  <si>
    <t xml:space="preserve">POMA5040</t>
  </si>
  <si>
    <t xml:space="preserve">INDICADORES DE DESEMPEÑO EDUCATIVO Y RUTAS DE APRENDIZAJE </t>
  </si>
  <si>
    <t xml:space="preserve">INDI DESE EDU RUTAS APRENDI</t>
  </si>
  <si>
    <t xml:space="preserve">INIG2021</t>
  </si>
  <si>
    <t xml:space="preserve">INGENIERÍA DE CONFIABILIDAD</t>
  </si>
  <si>
    <t xml:space="preserve">CSCE0161</t>
  </si>
  <si>
    <t xml:space="preserve">POMA5035</t>
  </si>
  <si>
    <t xml:space="preserve">CSCE0246</t>
  </si>
  <si>
    <t xml:space="preserve">POMA5055</t>
  </si>
  <si>
    <t xml:space="preserve">ECTE6122</t>
  </si>
  <si>
    <t xml:space="preserve">ECTE6096</t>
  </si>
  <si>
    <t xml:space="preserve">INTRODUCCIÓN A LA CALIDAD Y CADENA DE SUMINISTRO </t>
  </si>
  <si>
    <t xml:space="preserve">ECTE6126</t>
  </si>
  <si>
    <t xml:space="preserve">ECTE6104</t>
  </si>
  <si>
    <t xml:space="preserve">INTRODUCCIÓN A LA ESTADÍSTICA INFERENCIAL APLICADA A LAS EMPRESAS </t>
  </si>
  <si>
    <t xml:space="preserve">CSCE0162</t>
  </si>
  <si>
    <t xml:space="preserve">CCCO0023</t>
  </si>
  <si>
    <t xml:space="preserve">CSCE0133</t>
  </si>
  <si>
    <t xml:space="preserve">INTRODUCCIÓN A LAS CIENCIAS</t>
  </si>
  <si>
    <t xml:space="preserve">CCCO0028</t>
  </si>
  <si>
    <t xml:space="preserve">CSCE0185</t>
  </si>
  <si>
    <t xml:space="preserve">CSCE0166</t>
  </si>
  <si>
    <t xml:space="preserve">LATIN BÁSICO</t>
  </si>
  <si>
    <t xml:space="preserve">CSCE2108</t>
  </si>
  <si>
    <t xml:space="preserve">POMA5030</t>
  </si>
  <si>
    <t xml:space="preserve">CSCE0178</t>
  </si>
  <si>
    <t xml:space="preserve">LITERATURA COSTARRICENSE</t>
  </si>
  <si>
    <t xml:space="preserve">CSCE0172</t>
  </si>
  <si>
    <t xml:space="preserve">LITERATURA ESPAÑOLA</t>
  </si>
  <si>
    <t xml:space="preserve">CSCE0168</t>
  </si>
  <si>
    <t xml:space="preserve">LITERATURA GRECORROMANA</t>
  </si>
  <si>
    <t xml:space="preserve">CSCE0177</t>
  </si>
  <si>
    <t xml:space="preserve">LITERATURA HISPANOAMERICANA</t>
  </si>
  <si>
    <t xml:space="preserve">CSCE0213</t>
  </si>
  <si>
    <t xml:space="preserve">LITERATURA INFANTIL</t>
  </si>
  <si>
    <t xml:space="preserve">CSCE2121</t>
  </si>
  <si>
    <t xml:space="preserve">LITERATURA LATINOAMERICANA</t>
  </si>
  <si>
    <t xml:space="preserve">INIG2024</t>
  </si>
  <si>
    <t xml:space="preserve">AHCN2101</t>
  </si>
  <si>
    <t xml:space="preserve">INIG2023</t>
  </si>
  <si>
    <t xml:space="preserve">MANUFACTURA AVANZADA</t>
  </si>
  <si>
    <t xml:space="preserve">CCCO0029</t>
  </si>
  <si>
    <t xml:space="preserve">MARKETING DIGITAL I</t>
  </si>
  <si>
    <t xml:space="preserve">CCCO0031</t>
  </si>
  <si>
    <t xml:space="preserve">MARKETING DIGITAL II</t>
  </si>
  <si>
    <t xml:space="preserve">CSCE0230</t>
  </si>
  <si>
    <t xml:space="preserve">CNCX0068</t>
  </si>
  <si>
    <t xml:space="preserve">CJJU2027</t>
  </si>
  <si>
    <t xml:space="preserve">MEDICINA LEGAL</t>
  </si>
  <si>
    <t xml:space="preserve">CCCO2014</t>
  </si>
  <si>
    <t xml:space="preserve">MERCADEO DIGITAL</t>
  </si>
  <si>
    <t xml:space="preserve">CCCO0033</t>
  </si>
  <si>
    <t xml:space="preserve">MERCADEO DIRECTO</t>
  </si>
  <si>
    <t xml:space="preserve">CCCO0032</t>
  </si>
  <si>
    <t xml:space="preserve">MERCADEO GERENCIAL</t>
  </si>
  <si>
    <t xml:space="preserve">AHCN2098</t>
  </si>
  <si>
    <t xml:space="preserve">MERCADEO INTERNACIONAL</t>
  </si>
  <si>
    <t xml:space="preserve">CCCO2021</t>
  </si>
  <si>
    <t xml:space="preserve">INIG2019</t>
  </si>
  <si>
    <t xml:space="preserve">CSCE0169</t>
  </si>
  <si>
    <t xml:space="preserve">POMA5026</t>
  </si>
  <si>
    <t xml:space="preserve">POMA5031</t>
  </si>
  <si>
    <t xml:space="preserve">CSCE0140</t>
  </si>
  <si>
    <t xml:space="preserve">CCCO2022</t>
  </si>
  <si>
    <t xml:space="preserve">MÉTODOS DE INVESTIGACIÓN</t>
  </si>
  <si>
    <t xml:space="preserve">CJJU0060</t>
  </si>
  <si>
    <t xml:space="preserve">CCAV0042</t>
  </si>
  <si>
    <t xml:space="preserve">ECTE6119</t>
  </si>
  <si>
    <t xml:space="preserve">MÉTODOS DE TRABAJO</t>
  </si>
  <si>
    <t xml:space="preserve">ECTE6109</t>
  </si>
  <si>
    <t xml:space="preserve">MÉTODOS DE TRABAJO </t>
  </si>
  <si>
    <t xml:space="preserve">CSCE0182</t>
  </si>
  <si>
    <t xml:space="preserve">CSCE0243</t>
  </si>
  <si>
    <t xml:space="preserve">CSCE0248</t>
  </si>
  <si>
    <t xml:space="preserve">CSCE0139</t>
  </si>
  <si>
    <t xml:space="preserve">POMA5046</t>
  </si>
  <si>
    <t xml:space="preserve">CSCE0167</t>
  </si>
  <si>
    <t xml:space="preserve">CSCE0174</t>
  </si>
  <si>
    <t xml:space="preserve">CSCE0219</t>
  </si>
  <si>
    <t xml:space="preserve">CSCE0134</t>
  </si>
  <si>
    <t xml:space="preserve">NEUROCIENCIA COGNITIVA</t>
  </si>
  <si>
    <t xml:space="preserve">CSCE0227</t>
  </si>
  <si>
    <t xml:space="preserve">POMA5045</t>
  </si>
  <si>
    <t xml:space="preserve">PARADIGMAS MODERNOS EN EDUCACIÓN </t>
  </si>
  <si>
    <t xml:space="preserve">PARAD MODER EN EDUCACIÓN </t>
  </si>
  <si>
    <t xml:space="preserve">CSCE0203</t>
  </si>
  <si>
    <t xml:space="preserve">POMA5037</t>
  </si>
  <si>
    <t xml:space="preserve">CSCE2129</t>
  </si>
  <si>
    <t xml:space="preserve">CSCE0221</t>
  </si>
  <si>
    <t xml:space="preserve">CSCE0163</t>
  </si>
  <si>
    <t xml:space="preserve">CSCE0179</t>
  </si>
  <si>
    <t xml:space="preserve">POMA5033</t>
  </si>
  <si>
    <t xml:space="preserve">POMA5060</t>
  </si>
  <si>
    <t xml:space="preserve">POMA5059</t>
  </si>
  <si>
    <t xml:space="preserve">POMA5054</t>
  </si>
  <si>
    <t xml:space="preserve">CCCO2020</t>
  </si>
  <si>
    <t xml:space="preserve">PLATAFORMAS Y HERRAMIENTAS DIGITALES </t>
  </si>
  <si>
    <t xml:space="preserve">PLATA Y HERRA DIGITALES </t>
  </si>
  <si>
    <t xml:space="preserve">CCAV0045</t>
  </si>
  <si>
    <t xml:space="preserve">CCCO0037</t>
  </si>
  <si>
    <t xml:space="preserve">CSCE0155</t>
  </si>
  <si>
    <t xml:space="preserve">PRÁCTICA SUPERVISADA</t>
  </si>
  <si>
    <t xml:space="preserve">CSCE0181</t>
  </si>
  <si>
    <t xml:space="preserve">CSCE0202</t>
  </si>
  <si>
    <t xml:space="preserve">CSCE0224</t>
  </si>
  <si>
    <t xml:space="preserve">CSCE0245</t>
  </si>
  <si>
    <t xml:space="preserve">CCCO0035</t>
  </si>
  <si>
    <t xml:space="preserve">CJJU0074</t>
  </si>
  <si>
    <t xml:space="preserve">CJJU2020</t>
  </si>
  <si>
    <t xml:space="preserve">PROPIEDAD INTELECTUAL</t>
  </si>
  <si>
    <t xml:space="preserve">INIG2027</t>
  </si>
  <si>
    <t xml:space="preserve">PRUEBA DE GRADO</t>
  </si>
  <si>
    <t xml:space="preserve">AHCN2071</t>
  </si>
  <si>
    <t xml:space="preserve">AHCN2061</t>
  </si>
  <si>
    <t xml:space="preserve">AHCN2082</t>
  </si>
  <si>
    <t xml:space="preserve">AHCN2093</t>
  </si>
  <si>
    <t xml:space="preserve">AHCN2104</t>
  </si>
  <si>
    <t xml:space="preserve">CSCE2114</t>
  </si>
  <si>
    <t xml:space="preserve">PRUEBA GRADO 1 CIENCIAS</t>
  </si>
  <si>
    <t xml:space="preserve">CJJU2030</t>
  </si>
  <si>
    <t xml:space="preserve">PRUEBA GRADO 1 DERECHO</t>
  </si>
  <si>
    <t xml:space="preserve">CSCE2123</t>
  </si>
  <si>
    <t xml:space="preserve">PRUEBA GRADO 1 ESPAÑOL</t>
  </si>
  <si>
    <t xml:space="preserve">CSCE2132</t>
  </si>
  <si>
    <t xml:space="preserve">PRUEBA GRADO 1 EST SOC</t>
  </si>
  <si>
    <t xml:space="preserve">CSCE2150</t>
  </si>
  <si>
    <t xml:space="preserve">PRUEBA GRADO 1 MATEMÁTICA</t>
  </si>
  <si>
    <t xml:space="preserve">CSCE2141</t>
  </si>
  <si>
    <t xml:space="preserve">PRUEBA GRADO 1 PRIMARIA</t>
  </si>
  <si>
    <t xml:space="preserve">CSCE2124</t>
  </si>
  <si>
    <t xml:space="preserve">PRUEBA GRADO 2  ESPAÑOL</t>
  </si>
  <si>
    <t xml:space="preserve">CSCE2142</t>
  </si>
  <si>
    <t xml:space="preserve">PRUEBA GRADO 2  PRIMARIA</t>
  </si>
  <si>
    <t xml:space="preserve">CSCE2115</t>
  </si>
  <si>
    <t xml:space="preserve">PRUEBA GRADO 2 CIENCIAS</t>
  </si>
  <si>
    <t xml:space="preserve">CJJU2031</t>
  </si>
  <si>
    <t xml:space="preserve">PRUEBA GRADO 2 DERECHO</t>
  </si>
  <si>
    <t xml:space="preserve">CSCE2133</t>
  </si>
  <si>
    <t xml:space="preserve">PRUEBA GRADO 2 EST SOC</t>
  </si>
  <si>
    <t xml:space="preserve">CSCE2151</t>
  </si>
  <si>
    <t xml:space="preserve">PRUEBA GRADO 2 MATEMÁTICA</t>
  </si>
  <si>
    <t xml:space="preserve">CSCE2125</t>
  </si>
  <si>
    <t xml:space="preserve">PRUEBA GRADO 3  ESPAÑOL</t>
  </si>
  <si>
    <t xml:space="preserve">CSCE2143</t>
  </si>
  <si>
    <t xml:space="preserve">PRUEBA GRADO 3  PRIMARIA</t>
  </si>
  <si>
    <t xml:space="preserve">CSCE2116</t>
  </si>
  <si>
    <t xml:space="preserve">PRUEBA GRADO 3 CIENCIAS</t>
  </si>
  <si>
    <t xml:space="preserve">CSCE2134</t>
  </si>
  <si>
    <t xml:space="preserve">PRUEBA GRADO 3 EST SOC</t>
  </si>
  <si>
    <t xml:space="preserve">CSCE2152</t>
  </si>
  <si>
    <t xml:space="preserve">PRUEBA GRADO 3 MATEMÁTICA</t>
  </si>
  <si>
    <t xml:space="preserve">POMA5064</t>
  </si>
  <si>
    <t xml:space="preserve">CSCE0131</t>
  </si>
  <si>
    <t xml:space="preserve">CNCX0069</t>
  </si>
  <si>
    <t xml:space="preserve">CNCX0072</t>
  </si>
  <si>
    <t xml:space="preserve">CSCE2105</t>
  </si>
  <si>
    <t xml:space="preserve">CCCO0024</t>
  </si>
  <si>
    <t xml:space="preserve">REDACCIÓN PUBLICITARIA</t>
  </si>
  <si>
    <t xml:space="preserve">POMA5028</t>
  </si>
  <si>
    <t xml:space="preserve">REDES EDUCATIVAS</t>
  </si>
  <si>
    <t xml:space="preserve">AHCN2076</t>
  </si>
  <si>
    <t xml:space="preserve">CSCE0247</t>
  </si>
  <si>
    <t xml:space="preserve">POMA5075</t>
  </si>
  <si>
    <t xml:space="preserve">RUTAS DE APRENDIZAJE</t>
  </si>
  <si>
    <t xml:space="preserve">POMA5053</t>
  </si>
  <si>
    <t xml:space="preserve">CSCE2118</t>
  </si>
  <si>
    <t xml:space="preserve">CSCE2113</t>
  </si>
  <si>
    <t xml:space="preserve">SEMINARIO DE GRADUACIÓN</t>
  </si>
  <si>
    <t xml:space="preserve">CSCE2122</t>
  </si>
  <si>
    <t xml:space="preserve">CSCE2131</t>
  </si>
  <si>
    <t xml:space="preserve">CSCE2140</t>
  </si>
  <si>
    <t xml:space="preserve">CSCE2149</t>
  </si>
  <si>
    <t xml:space="preserve">CJJU2025</t>
  </si>
  <si>
    <t xml:space="preserve">SEMINARIO DE GRADUACIÓN I</t>
  </si>
  <si>
    <t xml:space="preserve">CJJU2029</t>
  </si>
  <si>
    <t xml:space="preserve">SEMINARIO DE GRADUACIÓN II</t>
  </si>
  <si>
    <t xml:space="preserve">CSCE2112</t>
  </si>
  <si>
    <t xml:space="preserve">CSCE0171</t>
  </si>
  <si>
    <t xml:space="preserve">CSCE2119</t>
  </si>
  <si>
    <t xml:space="preserve">INIG2017</t>
  </si>
  <si>
    <t xml:space="preserve">SIMULACIÓN DE PROCESOS</t>
  </si>
  <si>
    <t xml:space="preserve">ECTE6117</t>
  </si>
  <si>
    <t xml:space="preserve">ECTE6101</t>
  </si>
  <si>
    <t xml:space="preserve">SISTEMA DE GESTIÓN DE CALIDAD METROLOGÍA Y NORMALIZACIÓN </t>
  </si>
  <si>
    <t xml:space="preserve">INIG2020</t>
  </si>
  <si>
    <t xml:space="preserve">AHCN2088</t>
  </si>
  <si>
    <t xml:space="preserve">SUPERVISIÓN BANCARIA</t>
  </si>
  <si>
    <t xml:space="preserve">POMA5058</t>
  </si>
  <si>
    <t xml:space="preserve">CCCO0027</t>
  </si>
  <si>
    <t xml:space="preserve">TALLER CREATIVO I</t>
  </si>
  <si>
    <t xml:space="preserve">CCCO0036</t>
  </si>
  <si>
    <t xml:space="preserve">TALLER CREATIVO II</t>
  </si>
  <si>
    <t xml:space="preserve">CSCE0153</t>
  </si>
  <si>
    <t xml:space="preserve">TALLER DE ANDRAGOGÍA</t>
  </si>
  <si>
    <t xml:space="preserve">CSCE0143</t>
  </si>
  <si>
    <t xml:space="preserve">CSCE0137</t>
  </si>
  <si>
    <t xml:space="preserve">CCAV0043</t>
  </si>
  <si>
    <t xml:space="preserve">TALLER DE INTEGRACIÓN  II</t>
  </si>
  <si>
    <t xml:space="preserve">CCAV0040</t>
  </si>
  <si>
    <t xml:space="preserve">TALLER DE INTEGRACIÓN I</t>
  </si>
  <si>
    <t xml:space="preserve">CSCE2107</t>
  </si>
  <si>
    <t xml:space="preserve">CSCE2110</t>
  </si>
  <si>
    <t xml:space="preserve">CSCE0200</t>
  </si>
  <si>
    <t xml:space="preserve">ECTE6127</t>
  </si>
  <si>
    <t xml:space="preserve">TALLER SIX SIGMA</t>
  </si>
  <si>
    <t xml:space="preserve">ECTE6105</t>
  </si>
  <si>
    <t xml:space="preserve">TALLER SIX SIGMA </t>
  </si>
  <si>
    <t xml:space="preserve">AHCN2074</t>
  </si>
  <si>
    <t xml:space="preserve">CSCE0146</t>
  </si>
  <si>
    <t xml:space="preserve">CSCE0142</t>
  </si>
  <si>
    <t xml:space="preserve">POMA5048</t>
  </si>
  <si>
    <t xml:space="preserve">POMA5071</t>
  </si>
  <si>
    <t xml:space="preserve">POMA5051</t>
  </si>
  <si>
    <t xml:space="preserve">CSCE0239</t>
  </si>
  <si>
    <t xml:space="preserve">CJJU0061</t>
  </si>
  <si>
    <t xml:space="preserve">TEORÍA GENERAL DEL CONTRATO</t>
  </si>
  <si>
    <t xml:space="preserve">CJJU0034</t>
  </si>
  <si>
    <t xml:space="preserve">TEORÍA GENERAL DEL DERECHO</t>
  </si>
  <si>
    <t xml:space="preserve">CJJU0055</t>
  </si>
  <si>
    <t xml:space="preserve">TEORÍA GENERAL DEL PROCESO</t>
  </si>
  <si>
    <t xml:space="preserve">AHCN2091</t>
  </si>
  <si>
    <t xml:space="preserve">TEORÍA MONETARIA</t>
  </si>
  <si>
    <t xml:space="preserve">CCCO0025</t>
  </si>
  <si>
    <t xml:space="preserve">INIG2028</t>
  </si>
  <si>
    <t xml:space="preserve">TESIS</t>
  </si>
  <si>
    <t xml:space="preserve">AHCN2072</t>
  </si>
  <si>
    <t xml:space="preserve">AHCN2083</t>
  </si>
  <si>
    <t xml:space="preserve">AHCN2094</t>
  </si>
  <si>
    <t xml:space="preserve">AHCN2105</t>
  </si>
  <si>
    <t xml:space="preserve">CSCE2126</t>
  </si>
  <si>
    <t xml:space="preserve">TESIS GRADO  ESPAÑOL</t>
  </si>
  <si>
    <t xml:space="preserve">CSCE2135</t>
  </si>
  <si>
    <t xml:space="preserve">TESIS GRADO  EST SOC</t>
  </si>
  <si>
    <t xml:space="preserve">CSCE2144</t>
  </si>
  <si>
    <t xml:space="preserve">TESIS GRADO  PRIMARIA</t>
  </si>
  <si>
    <t xml:space="preserve">CSCE2117</t>
  </si>
  <si>
    <t xml:space="preserve">TESIS GRADO CIENCIAS</t>
  </si>
  <si>
    <t xml:space="preserve">CJJU2032</t>
  </si>
  <si>
    <t xml:space="preserve">TESIS GRADO DERECHO</t>
  </si>
  <si>
    <t xml:space="preserve">CSCE2153</t>
  </si>
  <si>
    <t xml:space="preserve">TESIS GRADO MATEMÁTICA</t>
  </si>
  <si>
    <t xml:space="preserve">CSCE2148</t>
  </si>
  <si>
    <t xml:space="preserve">TOPOLOGÍA</t>
  </si>
  <si>
    <t xml:space="preserve">CCCO2024</t>
  </si>
  <si>
    <t xml:space="preserve">TRABAJO FINAL DE GRADUACION</t>
  </si>
  <si>
    <t xml:space="preserve">AHCN2070</t>
  </si>
  <si>
    <t xml:space="preserve">TRABAJO FINAL DE GRADUACIÓN</t>
  </si>
  <si>
    <t xml:space="preserve">AHCN2092</t>
  </si>
  <si>
    <t xml:space="preserve">AHCN2103</t>
  </si>
  <si>
    <t xml:space="preserve">AHCN2081</t>
  </si>
  <si>
    <t xml:space="preserve">INIG2026</t>
  </si>
  <si>
    <t xml:space="preserve">POMA5038</t>
  </si>
  <si>
    <t xml:space="preserve">POMA5044</t>
  </si>
  <si>
    <t xml:space="preserve">POMA5049</t>
  </si>
  <si>
    <t xml:space="preserve">POMA5056</t>
  </si>
  <si>
    <t xml:space="preserve">POMA5063</t>
  </si>
  <si>
    <t xml:space="preserve">POMA5070</t>
  </si>
  <si>
    <t xml:space="preserve">POMA5076</t>
  </si>
  <si>
    <t xml:space="preserve">ECTE6124</t>
  </si>
  <si>
    <t xml:space="preserve">ECTE6102</t>
  </si>
  <si>
    <t xml:space="preserve">TRANSPORTE Y DISTRIBUCIÓN LOGÍSTICA </t>
  </si>
  <si>
    <t xml:space="preserve">TRANSPORTE DISTRI LOGÍS</t>
  </si>
  <si>
    <t xml:space="preserve">CSCE0144</t>
  </si>
  <si>
    <t xml:space="preserve">VOCA COMPRO PROFE EDU (RAC)</t>
  </si>
  <si>
    <t xml:space="preserve">SCBCRSE_SUBJ_CODE</t>
  </si>
  <si>
    <t xml:space="preserve">SCBCRSE_CRSE_NUMB</t>
  </si>
  <si>
    <t xml:space="preserve">HSHM</t>
  </si>
  <si>
    <t xml:space="preserve">0001</t>
  </si>
  <si>
    <t xml:space="preserve">ANATOMIA MORFOLOGICA GENERAL</t>
  </si>
  <si>
    <t xml:space="preserve">HSHM0001</t>
  </si>
  <si>
    <t xml:space="preserve">0002</t>
  </si>
  <si>
    <t xml:space="preserve">BIOLOGIA GENERAL</t>
  </si>
  <si>
    <t xml:space="preserve">HSHM0002</t>
  </si>
  <si>
    <t xml:space="preserve">0003</t>
  </si>
  <si>
    <t xml:space="preserve">REHABI Y HABILITACION INTEGRAL</t>
  </si>
  <si>
    <t xml:space="preserve">HSHM0003</t>
  </si>
  <si>
    <t xml:space="preserve">0005</t>
  </si>
  <si>
    <t xml:space="preserve">BIOFISICA</t>
  </si>
  <si>
    <t xml:space="preserve">HSHM0005</t>
  </si>
  <si>
    <t xml:space="preserve">0006</t>
  </si>
  <si>
    <t xml:space="preserve">NEUROANATOMIA</t>
  </si>
  <si>
    <t xml:space="preserve">HSHM0006</t>
  </si>
  <si>
    <t xml:space="preserve">0007</t>
  </si>
  <si>
    <t xml:space="preserve">FISIOLOGIA HUMANA</t>
  </si>
  <si>
    <t xml:space="preserve">HSHM0007</t>
  </si>
  <si>
    <t xml:space="preserve">0008</t>
  </si>
  <si>
    <t xml:space="preserve">PSICOLOGIA GENERAL</t>
  </si>
  <si>
    <t xml:space="preserve">HSHM0008</t>
  </si>
  <si>
    <t xml:space="preserve">0009</t>
  </si>
  <si>
    <t xml:space="preserve">PRINCIPIOS DE MEDICINA GENERAL</t>
  </si>
  <si>
    <t xml:space="preserve">HSHM0009</t>
  </si>
  <si>
    <t xml:space="preserve">0010</t>
  </si>
  <si>
    <t xml:space="preserve">ENFERMERÍA EN REHABILITACION</t>
  </si>
  <si>
    <t xml:space="preserve">HSHM0010</t>
  </si>
  <si>
    <t xml:space="preserve">0011</t>
  </si>
  <si>
    <t xml:space="preserve">NEUROFISIOLOGIA</t>
  </si>
  <si>
    <t xml:space="preserve">HSHM0011</t>
  </si>
  <si>
    <t xml:space="preserve">0012</t>
  </si>
  <si>
    <t xml:space="preserve">ANATOMIA ESTRUCTURAL Y FUNCION</t>
  </si>
  <si>
    <t xml:space="preserve">HSHM0012</t>
  </si>
  <si>
    <t xml:space="preserve">0013</t>
  </si>
  <si>
    <t xml:space="preserve">PATOLOGIA MEDICA I</t>
  </si>
  <si>
    <t xml:space="preserve">HSHM0013</t>
  </si>
  <si>
    <t xml:space="preserve">0014</t>
  </si>
  <si>
    <t xml:space="preserve">PSICOLOGIA DE LA REHAB APLICAD</t>
  </si>
  <si>
    <t xml:space="preserve">HSHM0014</t>
  </si>
  <si>
    <t xml:space="preserve">0015</t>
  </si>
  <si>
    <t xml:space="preserve">RECREACION, JUEGO Y PREDEPORTE</t>
  </si>
  <si>
    <t xml:space="preserve">HSHM0015</t>
  </si>
  <si>
    <t xml:space="preserve">0016</t>
  </si>
  <si>
    <t xml:space="preserve">TRAUMATOLOGIA Y ORTOPEDIA</t>
  </si>
  <si>
    <t xml:space="preserve">HSHM0016</t>
  </si>
  <si>
    <t xml:space="preserve">0017</t>
  </si>
  <si>
    <t xml:space="preserve">PATOLOGIA MEDICA II</t>
  </si>
  <si>
    <t xml:space="preserve">HSHM0017</t>
  </si>
  <si>
    <t xml:space="preserve">0018</t>
  </si>
  <si>
    <t xml:space="preserve">FISIOLOGIA DEL EJERCICIO</t>
  </si>
  <si>
    <t xml:space="preserve">HSHM0018</t>
  </si>
  <si>
    <t xml:space="preserve">0019</t>
  </si>
  <si>
    <t xml:space="preserve">COMUNICACION SOCIAL EN SALUD</t>
  </si>
  <si>
    <t xml:space="preserve">HSHM0019</t>
  </si>
  <si>
    <t xml:space="preserve">0021</t>
  </si>
  <si>
    <t xml:space="preserve">METODOS DE INVESTIGACION</t>
  </si>
  <si>
    <t xml:space="preserve">HSHM0021</t>
  </si>
  <si>
    <t xml:space="preserve">0022</t>
  </si>
  <si>
    <t xml:space="preserve">PATOLOGIA MEDICA III</t>
  </si>
  <si>
    <t xml:space="preserve">HSHM0022</t>
  </si>
  <si>
    <t xml:space="preserve">0023</t>
  </si>
  <si>
    <t xml:space="preserve">KINESIOLOGIA Y BIOMECANICA</t>
  </si>
  <si>
    <t xml:space="preserve">HSHM0023</t>
  </si>
  <si>
    <t xml:space="preserve">0025</t>
  </si>
  <si>
    <t xml:space="preserve">PSIQUIATRIA</t>
  </si>
  <si>
    <t xml:space="preserve">HSHM0025</t>
  </si>
  <si>
    <t xml:space="preserve">0029</t>
  </si>
  <si>
    <t xml:space="preserve">AYUDAS BIOMECANICAS</t>
  </si>
  <si>
    <t xml:space="preserve">HSHM0029</t>
  </si>
  <si>
    <t xml:space="preserve">0026</t>
  </si>
  <si>
    <t xml:space="preserve">TECNICAS MANUALES</t>
  </si>
  <si>
    <t xml:space="preserve">HSHM0026</t>
  </si>
  <si>
    <t xml:space="preserve">0027</t>
  </si>
  <si>
    <t xml:space="preserve">EPIDEMIOLOGIA Y SALUD PUBLICA</t>
  </si>
  <si>
    <t xml:space="preserve">HSHM0027</t>
  </si>
  <si>
    <t xml:space="preserve">0030</t>
  </si>
  <si>
    <t xml:space="preserve">PARTIC PERS DISCAP MERC LABOR</t>
  </si>
  <si>
    <t xml:space="preserve">HSHM0030</t>
  </si>
  <si>
    <t xml:space="preserve">0028</t>
  </si>
  <si>
    <t xml:space="preserve">PRACTICA EN LA COMUNIDAD I</t>
  </si>
  <si>
    <t xml:space="preserve">HSHM0028</t>
  </si>
  <si>
    <t xml:space="preserve">0031</t>
  </si>
  <si>
    <t xml:space="preserve">AGENTES FISICOS</t>
  </si>
  <si>
    <t xml:space="preserve">HSHM0031</t>
  </si>
  <si>
    <t xml:space="preserve">0032</t>
  </si>
  <si>
    <t xml:space="preserve">ELECTROTERAPIA</t>
  </si>
  <si>
    <t xml:space="preserve">HSHM0032</t>
  </si>
  <si>
    <t xml:space="preserve">0004</t>
  </si>
  <si>
    <t xml:space="preserve">NEURODESARROLLO NORMAL Y PATOL</t>
  </si>
  <si>
    <t xml:space="preserve">HSHM0004</t>
  </si>
  <si>
    <t xml:space="preserve">0020</t>
  </si>
  <si>
    <t xml:space="preserve">HABIL ADAP VIDA DIA R PERS DIS</t>
  </si>
  <si>
    <t xml:space="preserve">HSHM0020</t>
  </si>
  <si>
    <t xml:space="preserve">0024</t>
  </si>
  <si>
    <t xml:space="preserve">PRACTICA COMUNITARIA II</t>
  </si>
  <si>
    <t xml:space="preserve">HSHM0024</t>
  </si>
  <si>
    <t xml:space="preserve">CCCO</t>
  </si>
  <si>
    <t xml:space="preserve">0099</t>
  </si>
  <si>
    <t xml:space="preserve">MARCA PERSONAL</t>
  </si>
  <si>
    <t xml:space="preserve">CCCO0099</t>
  </si>
  <si>
    <t xml:space="preserve">CSCE</t>
  </si>
  <si>
    <t xml:space="preserve">PENSAMIENTO CRITICO</t>
  </si>
  <si>
    <t xml:space="preserve">CSCE0099</t>
  </si>
  <si>
    <t xml:space="preserve">AHCN</t>
  </si>
  <si>
    <t xml:space="preserve">EMPRENDEDOR</t>
  </si>
  <si>
    <t xml:space="preserve">AHCN0099</t>
  </si>
  <si>
    <t xml:space="preserve">2000</t>
  </si>
  <si>
    <t xml:space="preserve">TECNICAS DE EVALUACION I</t>
  </si>
  <si>
    <t xml:space="preserve">HSHM2000</t>
  </si>
  <si>
    <t xml:space="preserve">2001</t>
  </si>
  <si>
    <t xml:space="preserve">TERAPIA FISICA APLICADA I</t>
  </si>
  <si>
    <t xml:space="preserve">HSHM2001</t>
  </si>
  <si>
    <t xml:space="preserve">2002</t>
  </si>
  <si>
    <t xml:space="preserve">EJERCICIOS TERAPEUTICOS I</t>
  </si>
  <si>
    <t xml:space="preserve">HSHM2002</t>
  </si>
  <si>
    <t xml:space="preserve">2003</t>
  </si>
  <si>
    <t xml:space="preserve">SALUD DEPORTIVA</t>
  </si>
  <si>
    <t xml:space="preserve">HSHM2003</t>
  </si>
  <si>
    <t xml:space="preserve">2004</t>
  </si>
  <si>
    <t xml:space="preserve">TECNICAS DE EVALUACION II</t>
  </si>
  <si>
    <t xml:space="preserve">HSHM2004</t>
  </si>
  <si>
    <t xml:space="preserve">2005</t>
  </si>
  <si>
    <t xml:space="preserve">TERAPIA FISICA APLICADA II</t>
  </si>
  <si>
    <t xml:space="preserve">HSHM2005</t>
  </si>
  <si>
    <t xml:space="preserve">2006</t>
  </si>
  <si>
    <t xml:space="preserve">EJERCICIOS TERAPEUTICOS II</t>
  </si>
  <si>
    <t xml:space="preserve">HSHM2006</t>
  </si>
  <si>
    <t xml:space="preserve">2007</t>
  </si>
  <si>
    <t xml:space="preserve">PRACTICA SUPERVISADA I</t>
  </si>
  <si>
    <t xml:space="preserve">HSHM2007</t>
  </si>
  <si>
    <t xml:space="preserve">2008</t>
  </si>
  <si>
    <t xml:space="preserve">ETICA PROFESIONAL</t>
  </si>
  <si>
    <t xml:space="preserve">HSHM2008</t>
  </si>
  <si>
    <t xml:space="preserve">2009</t>
  </si>
  <si>
    <t xml:space="preserve">PLANIF Y ADMIN EN REHAB Y HABI</t>
  </si>
  <si>
    <t xml:space="preserve">HSHM2009</t>
  </si>
  <si>
    <t xml:space="preserve">2010</t>
  </si>
  <si>
    <t xml:space="preserve">TERAPIA FISICA APLICADA III</t>
  </si>
  <si>
    <t xml:space="preserve">HSHM2010</t>
  </si>
  <si>
    <t xml:space="preserve">2011</t>
  </si>
  <si>
    <t xml:space="preserve">PRACTICA SUPERVISADA II</t>
  </si>
  <si>
    <t xml:space="preserve">HSHM2011</t>
  </si>
  <si>
    <t xml:space="preserve">2012</t>
  </si>
  <si>
    <t xml:space="preserve">MEDICINA FAMILIAR Y COMUNITAR</t>
  </si>
  <si>
    <t xml:space="preserve">HSHM2012</t>
  </si>
  <si>
    <t xml:space="preserve">2013</t>
  </si>
  <si>
    <t xml:space="preserve">MEDICINA DEL TRABAJO</t>
  </si>
  <si>
    <t xml:space="preserve">HSHM2013</t>
  </si>
  <si>
    <t xml:space="preserve">2014</t>
  </si>
  <si>
    <t xml:space="preserve">PRACTICA SUPERVISADA III</t>
  </si>
  <si>
    <t xml:space="preserve">HSHM2014</t>
  </si>
  <si>
    <t xml:space="preserve">2015</t>
  </si>
  <si>
    <t xml:space="preserve">SEMINARIO DE GRADUACION</t>
  </si>
  <si>
    <t xml:space="preserve">HSHM2015</t>
  </si>
  <si>
    <t xml:space="preserve">CSEG</t>
  </si>
  <si>
    <t xml:space="preserve">TRABAJO COMUNAL UNIVERSITARIO</t>
  </si>
  <si>
    <t xml:space="preserve">CSEG0001</t>
  </si>
  <si>
    <t xml:space="preserve">2016</t>
  </si>
  <si>
    <t xml:space="preserve">PROYECTO DE GRADUACION</t>
  </si>
  <si>
    <t xml:space="preserve">HSHM2016</t>
  </si>
  <si>
    <t xml:space="preserve">2017</t>
  </si>
  <si>
    <t xml:space="preserve">TESIS DE GRADO</t>
  </si>
  <si>
    <t xml:space="preserve">HSHM2017</t>
  </si>
  <si>
    <t xml:space="preserve">2018</t>
  </si>
  <si>
    <t xml:space="preserve">PRUEBAS DE GRADO</t>
  </si>
  <si>
    <t xml:space="preserve">HSHM2018</t>
  </si>
  <si>
    <t xml:space="preserve">CCAV</t>
  </si>
  <si>
    <t xml:space="preserve">HISTORIA GENERAL DEL ARTE</t>
  </si>
  <si>
    <t xml:space="preserve">CCAV0001</t>
  </si>
  <si>
    <t xml:space="preserve">DIBUJO PUBLICITARIO I</t>
  </si>
  <si>
    <t xml:space="preserve">CCAV0002</t>
  </si>
  <si>
    <t xml:space="preserve">INTRODUCCION A LA PUBLICIDAD</t>
  </si>
  <si>
    <t xml:space="preserve">CCCO0002</t>
  </si>
  <si>
    <t xml:space="preserve">DISENO PUBLICITARIO I</t>
  </si>
  <si>
    <t xml:space="preserve">CCAV0004</t>
  </si>
  <si>
    <t xml:space="preserve">REDACCION Y ORTOGRAFIA</t>
  </si>
  <si>
    <t xml:space="preserve">CCCO0003</t>
  </si>
  <si>
    <t xml:space="preserve">DIBUJO PUBLICITARIO II</t>
  </si>
  <si>
    <t xml:space="preserve">CCAV0003</t>
  </si>
  <si>
    <t xml:space="preserve">ESTRATEGIA PUBLICITARIA</t>
  </si>
  <si>
    <t xml:space="preserve">CCCO0004</t>
  </si>
  <si>
    <t xml:space="preserve">DISENO PUBLICITARIO II</t>
  </si>
  <si>
    <t xml:space="preserve">CCAV0005</t>
  </si>
  <si>
    <t xml:space="preserve">CSID</t>
  </si>
  <si>
    <t xml:space="preserve">0060</t>
  </si>
  <si>
    <t xml:space="preserve">INGLES BASICO PARA DISENADORES</t>
  </si>
  <si>
    <t xml:space="preserve">CSID0060</t>
  </si>
  <si>
    <t xml:space="preserve">DIBUJO PUBLICITARIO III</t>
  </si>
  <si>
    <t xml:space="preserve">CCAV0006</t>
  </si>
  <si>
    <t xml:space="preserve">DISENO PUBLICITARIO III</t>
  </si>
  <si>
    <t xml:space="preserve">CCAV0008</t>
  </si>
  <si>
    <t xml:space="preserve">DISENO POR COMPUTADORA I</t>
  </si>
  <si>
    <t xml:space="preserve">CCAV0009</t>
  </si>
  <si>
    <t xml:space="preserve">TEORIA DE LA COMUNICACION</t>
  </si>
  <si>
    <t xml:space="preserve">CCCO0001</t>
  </si>
  <si>
    <t xml:space="preserve">PRESENTACION PROYECTOS PUBLIC</t>
  </si>
  <si>
    <t xml:space="preserve">CCCO0011</t>
  </si>
  <si>
    <t xml:space="preserve">TECNICAS DE EXPRESION ART</t>
  </si>
  <si>
    <t xml:space="preserve">CCAV0012</t>
  </si>
  <si>
    <t xml:space="preserve">DISENO VITRINAS Y ESCAPARATES</t>
  </si>
  <si>
    <t xml:space="preserve">CCAV0011</t>
  </si>
  <si>
    <t xml:space="preserve">APRECIACION DEL ARTE</t>
  </si>
  <si>
    <t xml:space="preserve">CCAV0007</t>
  </si>
  <si>
    <t xml:space="preserve">TECNICAS DE COMUNICACION</t>
  </si>
  <si>
    <t xml:space="preserve">CCCO0005</t>
  </si>
  <si>
    <t xml:space="preserve">DISENO POR COMPUTADORA II</t>
  </si>
  <si>
    <t xml:space="preserve">CCAV0013</t>
  </si>
  <si>
    <t xml:space="preserve">PSICOLOGIA DEL CONSUMIDOR</t>
  </si>
  <si>
    <t xml:space="preserve">CCCO0008</t>
  </si>
  <si>
    <t xml:space="preserve">CAMPANA I</t>
  </si>
  <si>
    <t xml:space="preserve">CCAV0014</t>
  </si>
  <si>
    <t xml:space="preserve">DISENO POR COMPUTADORA III</t>
  </si>
  <si>
    <t xml:space="preserve">CCAV0016</t>
  </si>
  <si>
    <t xml:space="preserve">PRODUCCION PUBLICITARIA TV</t>
  </si>
  <si>
    <t xml:space="preserve">CCAV0017</t>
  </si>
  <si>
    <t xml:space="preserve">FOTOGRAFIA</t>
  </si>
  <si>
    <t xml:space="preserve">CCAV0010</t>
  </si>
  <si>
    <t xml:space="preserve">CAMPANA II</t>
  </si>
  <si>
    <t xml:space="preserve">CCAV0015</t>
  </si>
  <si>
    <t xml:space="preserve">SOCIOLOGIA APLICADA A LA PUBL</t>
  </si>
  <si>
    <t xml:space="preserve">CCCO0021</t>
  </si>
  <si>
    <t xml:space="preserve">DISENO POR COMPUTADORA IV</t>
  </si>
  <si>
    <t xml:space="preserve">CCAV0019</t>
  </si>
  <si>
    <t xml:space="preserve">PRODUCCION GRAFICA</t>
  </si>
  <si>
    <t xml:space="preserve">CCAV0018</t>
  </si>
  <si>
    <t xml:space="preserve">ETICA Y LEGISLACION PUBL</t>
  </si>
  <si>
    <t xml:space="preserve">CCCO0020</t>
  </si>
  <si>
    <t xml:space="preserve">PRODUCCION RADIOFONICA</t>
  </si>
  <si>
    <t xml:space="preserve">CCCO0014</t>
  </si>
  <si>
    <t xml:space="preserve">SEMINARIO PROMOCION VENT GRAF</t>
  </si>
  <si>
    <t xml:space="preserve">CCAV0021</t>
  </si>
  <si>
    <t xml:space="preserve">CCCO0007</t>
  </si>
  <si>
    <t xml:space="preserve">TECNICAS  ANALISIS CONDUCTUAL</t>
  </si>
  <si>
    <t xml:space="preserve">CCCO0006</t>
  </si>
  <si>
    <t xml:space="preserve">0103</t>
  </si>
  <si>
    <t xml:space="preserve">INGLES III</t>
  </si>
  <si>
    <t xml:space="preserve">CSID0103</t>
  </si>
  <si>
    <t xml:space="preserve">ESTRATEGIA CREATIVA</t>
  </si>
  <si>
    <t xml:space="preserve">CCCO0022</t>
  </si>
  <si>
    <t xml:space="preserve">0104</t>
  </si>
  <si>
    <t xml:space="preserve">INGLES IV</t>
  </si>
  <si>
    <t xml:space="preserve">CSID0104</t>
  </si>
  <si>
    <t xml:space="preserve">LEGISLACION PUBLICITARIA</t>
  </si>
  <si>
    <t xml:space="preserve">CCCO0009</t>
  </si>
  <si>
    <t xml:space="preserve">INTRODUCCION RELACIONES PUBLI</t>
  </si>
  <si>
    <t xml:space="preserve">CCCO0010</t>
  </si>
  <si>
    <t xml:space="preserve">0105</t>
  </si>
  <si>
    <t xml:space="preserve">INGLES V</t>
  </si>
  <si>
    <t xml:space="preserve">CSID0105</t>
  </si>
  <si>
    <t xml:space="preserve">CCCO0012</t>
  </si>
  <si>
    <t xml:space="preserve">CCCO0013</t>
  </si>
  <si>
    <t xml:space="preserve">0106</t>
  </si>
  <si>
    <t xml:space="preserve">INGLES VI</t>
  </si>
  <si>
    <t xml:space="preserve">CSID0106</t>
  </si>
  <si>
    <t xml:space="preserve">INVESTIGACION DE MERCADOS</t>
  </si>
  <si>
    <t xml:space="preserve">CCCO0015</t>
  </si>
  <si>
    <t xml:space="preserve">PRODUCCION AUDIOVISUAL</t>
  </si>
  <si>
    <t xml:space="preserve">CCAV0020</t>
  </si>
  <si>
    <t xml:space="preserve">CCCO0016</t>
  </si>
  <si>
    <t xml:space="preserve">CCCO0017</t>
  </si>
  <si>
    <t xml:space="preserve">COMUNICACION INTEGRADA MERCAD</t>
  </si>
  <si>
    <t xml:space="preserve">CCCO0018</t>
  </si>
  <si>
    <t xml:space="preserve">PRACTICA PUBLICIDAD INTEGRADA</t>
  </si>
  <si>
    <t xml:space="preserve">CCCO0019</t>
  </si>
  <si>
    <t xml:space="preserve">0093</t>
  </si>
  <si>
    <t xml:space="preserve">ECONOMIA</t>
  </si>
  <si>
    <t xml:space="preserve">AHCN0093</t>
  </si>
  <si>
    <t xml:space="preserve">COMUNICACION CORPORATIVA</t>
  </si>
  <si>
    <t xml:space="preserve">CCCO2000</t>
  </si>
  <si>
    <t xml:space="preserve">EVALUACION DE MEDIOS DE COMUN</t>
  </si>
  <si>
    <t xml:space="preserve">CCCO2001</t>
  </si>
  <si>
    <t xml:space="preserve">PROMOCION Y VENTAS</t>
  </si>
  <si>
    <t xml:space="preserve">CCCO2002</t>
  </si>
  <si>
    <t xml:space="preserve">MERCHANDISING</t>
  </si>
  <si>
    <t xml:space="preserve">CCCO2003</t>
  </si>
  <si>
    <t xml:space="preserve">COMUNICACION POLITICA</t>
  </si>
  <si>
    <t xml:space="preserve">CCCO2004</t>
  </si>
  <si>
    <t xml:space="preserve">MARKETING INTERNACIONAL</t>
  </si>
  <si>
    <t xml:space="preserve">CCCO2005</t>
  </si>
  <si>
    <t xml:space="preserve">SEMINARIO DE GRADUACION I</t>
  </si>
  <si>
    <t xml:space="preserve">CCCO2006</t>
  </si>
  <si>
    <t xml:space="preserve">LEGISLACION LABORAL Y MERCANT</t>
  </si>
  <si>
    <t xml:space="preserve">CCCO2007</t>
  </si>
  <si>
    <t xml:space="preserve">SISTEMAS INFORMACION GERENCIAL</t>
  </si>
  <si>
    <t xml:space="preserve">CCCO2008</t>
  </si>
  <si>
    <t xml:space="preserve">SEMINARIO DE GRADUACION II</t>
  </si>
  <si>
    <t xml:space="preserve">CCCO2009</t>
  </si>
  <si>
    <t xml:space="preserve">CCCO2016</t>
  </si>
  <si>
    <t xml:space="preserve">CCCO2017</t>
  </si>
  <si>
    <t xml:space="preserve">CNCX</t>
  </si>
  <si>
    <t xml:space="preserve">MATEMATICA I</t>
  </si>
  <si>
    <t xml:space="preserve">CNCX0001</t>
  </si>
  <si>
    <t xml:space="preserve">0101</t>
  </si>
  <si>
    <t xml:space="preserve">INGLES I</t>
  </si>
  <si>
    <t xml:space="preserve">CSID0101</t>
  </si>
  <si>
    <t xml:space="preserve">INTI</t>
  </si>
  <si>
    <t xml:space="preserve">COMPUTACION I</t>
  </si>
  <si>
    <t xml:space="preserve">INTI0101</t>
  </si>
  <si>
    <t xml:space="preserve">ADM DE RECURSOS HUMANOS</t>
  </si>
  <si>
    <t xml:space="preserve">AHCN0025</t>
  </si>
  <si>
    <t xml:space="preserve">CONTABILIDAD II</t>
  </si>
  <si>
    <t xml:space="preserve">AHCN0006</t>
  </si>
  <si>
    <t xml:space="preserve">MATEMATICA II</t>
  </si>
  <si>
    <t xml:space="preserve">CNCX0002</t>
  </si>
  <si>
    <t xml:space="preserve">0102</t>
  </si>
  <si>
    <t xml:space="preserve">INGLES II</t>
  </si>
  <si>
    <t xml:space="preserve">CSID0102</t>
  </si>
  <si>
    <t xml:space="preserve">COMPUTACION II</t>
  </si>
  <si>
    <t xml:space="preserve">INTI0102</t>
  </si>
  <si>
    <t xml:space="preserve">ESTADISTICA I</t>
  </si>
  <si>
    <t xml:space="preserve">CNCX0003</t>
  </si>
  <si>
    <t xml:space="preserve">MICROECONOMIA</t>
  </si>
  <si>
    <t xml:space="preserve">AHCN0021</t>
  </si>
  <si>
    <t xml:space="preserve">0066</t>
  </si>
  <si>
    <t xml:space="preserve">MATEMATICA FINANCIERA</t>
  </si>
  <si>
    <t xml:space="preserve">AHCN0066</t>
  </si>
  <si>
    <t xml:space="preserve">ESTADISTICA II</t>
  </si>
  <si>
    <t xml:space="preserve">CNCX0004</t>
  </si>
  <si>
    <t xml:space="preserve">MACROECONOMIA I</t>
  </si>
  <si>
    <t xml:space="preserve">AHCN0028</t>
  </si>
  <si>
    <t xml:space="preserve">0034</t>
  </si>
  <si>
    <t xml:space="preserve">TECNICAS INVEST Y PRESENTACION</t>
  </si>
  <si>
    <t xml:space="preserve">AHCN0034</t>
  </si>
  <si>
    <t xml:space="preserve">INVESTIGACION DE OPERACIONES</t>
  </si>
  <si>
    <t xml:space="preserve">AHCN0011</t>
  </si>
  <si>
    <t xml:space="preserve">MERCADEO I</t>
  </si>
  <si>
    <t xml:space="preserve">AHCN0015</t>
  </si>
  <si>
    <t xml:space="preserve">CONTABILIDAD DE COSTOS I</t>
  </si>
  <si>
    <t xml:space="preserve">AHCN0014</t>
  </si>
  <si>
    <t xml:space="preserve">FINANZAS II</t>
  </si>
  <si>
    <t xml:space="preserve">AHCN0017</t>
  </si>
  <si>
    <t xml:space="preserve">CONTROL GERENCIAL</t>
  </si>
  <si>
    <t xml:space="preserve">AHCN0027</t>
  </si>
  <si>
    <t xml:space="preserve">INIG</t>
  </si>
  <si>
    <t xml:space="preserve">PRODUCCION</t>
  </si>
  <si>
    <t xml:space="preserve">INIG0025</t>
  </si>
  <si>
    <t xml:space="preserve">MERCADEO II</t>
  </si>
  <si>
    <t xml:space="preserve">AHCN0024</t>
  </si>
  <si>
    <t xml:space="preserve">LEGISLACION LABORAL</t>
  </si>
  <si>
    <t xml:space="preserve">AHCN0026</t>
  </si>
  <si>
    <t xml:space="preserve">0033</t>
  </si>
  <si>
    <t xml:space="preserve">ADMINISTRACION BURSATIL</t>
  </si>
  <si>
    <t xml:space="preserve">AHCN0033</t>
  </si>
  <si>
    <t xml:space="preserve">COMERCIO INTERNACIONAL</t>
  </si>
  <si>
    <t xml:space="preserve">AHCN0019</t>
  </si>
  <si>
    <t xml:space="preserve">ESTRATEGIA EMPRESARIAL</t>
  </si>
  <si>
    <t xml:space="preserve">AHCN0018</t>
  </si>
  <si>
    <t xml:space="preserve">AHCN0010</t>
  </si>
  <si>
    <t xml:space="preserve">TOMA DE DECISIONES FINANCIERAS</t>
  </si>
  <si>
    <t xml:space="preserve">AHCN0032</t>
  </si>
  <si>
    <t xml:space="preserve">DECISIONES GERENCIALES I</t>
  </si>
  <si>
    <t xml:space="preserve">AHCN0020</t>
  </si>
  <si>
    <t xml:space="preserve">GERENCIA DE RECURSOS HUMANOS</t>
  </si>
  <si>
    <t xml:space="preserve">AHCN0030</t>
  </si>
  <si>
    <t xml:space="preserve">0097</t>
  </si>
  <si>
    <t xml:space="preserve">ADMINISTRACION DEL TIEMPO</t>
  </si>
  <si>
    <t xml:space="preserve">AHCN0097</t>
  </si>
  <si>
    <t xml:space="preserve">0098</t>
  </si>
  <si>
    <t xml:space="preserve">PLAN DE VIDA Y CARRERA</t>
  </si>
  <si>
    <t xml:space="preserve">AHCN0098</t>
  </si>
  <si>
    <t xml:space="preserve">METODOLOGIA DE LA INVESTIGAC</t>
  </si>
  <si>
    <t xml:space="preserve">AHCN0002</t>
  </si>
  <si>
    <t xml:space="preserve">ADMINISTRACION GENERAL</t>
  </si>
  <si>
    <t xml:space="preserve">AHCN0003</t>
  </si>
  <si>
    <t xml:space="preserve">AHCN0016</t>
  </si>
  <si>
    <t xml:space="preserve">GEST Y DESARR TALENTO HUMANO</t>
  </si>
  <si>
    <t xml:space="preserve">AHCN0008</t>
  </si>
  <si>
    <t xml:space="preserve">MERCADEO</t>
  </si>
  <si>
    <t xml:space="preserve">AHCN0005</t>
  </si>
  <si>
    <t xml:space="preserve">APLIC TECNO PARA TOMA DE DECIS</t>
  </si>
  <si>
    <t xml:space="preserve">AHCN0022</t>
  </si>
  <si>
    <t xml:space="preserve">AHCN0023</t>
  </si>
  <si>
    <t xml:space="preserve">PLANIFICACION Y DESARR EMPRESA</t>
  </si>
  <si>
    <t xml:space="preserve">AHCN0031</t>
  </si>
  <si>
    <t xml:space="preserve">0037</t>
  </si>
  <si>
    <t xml:space="preserve">LIDERAZGO GERENCIAL</t>
  </si>
  <si>
    <t xml:space="preserve">AHCN0037</t>
  </si>
  <si>
    <t xml:space="preserve">0056</t>
  </si>
  <si>
    <t xml:space="preserve">AHCN0056</t>
  </si>
  <si>
    <t xml:space="preserve">TECNOL  INFORM Y DEL CONOCIM</t>
  </si>
  <si>
    <t xml:space="preserve">INTI0030</t>
  </si>
  <si>
    <t xml:space="preserve">0092</t>
  </si>
  <si>
    <t xml:space="preserve">COMERCIO ELECTRONICO</t>
  </si>
  <si>
    <t xml:space="preserve">AHCN0092</t>
  </si>
  <si>
    <t xml:space="preserve">0091</t>
  </si>
  <si>
    <t xml:space="preserve">INTROD A INTELIG DE NEGOCIOS</t>
  </si>
  <si>
    <t xml:space="preserve">AHCN0091</t>
  </si>
  <si>
    <t xml:space="preserve">0062</t>
  </si>
  <si>
    <t xml:space="preserve">GERENCIA DEL TALENTO HUMANO</t>
  </si>
  <si>
    <t xml:space="preserve">AHCN0062</t>
  </si>
  <si>
    <t xml:space="preserve">0059</t>
  </si>
  <si>
    <t xml:space="preserve">ETICA EMPRESARIAL</t>
  </si>
  <si>
    <t xml:space="preserve">AHCN0059</t>
  </si>
  <si>
    <t xml:space="preserve">AHCN0012</t>
  </si>
  <si>
    <t xml:space="preserve">AHCN0029</t>
  </si>
  <si>
    <t xml:space="preserve">0053</t>
  </si>
  <si>
    <t xml:space="preserve">DESARROLLO PRODUC Y PRECIOS</t>
  </si>
  <si>
    <t xml:space="preserve">AHCN0053</t>
  </si>
  <si>
    <t xml:space="preserve">0041</t>
  </si>
  <si>
    <t xml:space="preserve">ADMIN METODOLOGIA Y VENTAS</t>
  </si>
  <si>
    <t xml:space="preserve">AHCN0041</t>
  </si>
  <si>
    <t xml:space="preserve">0067</t>
  </si>
  <si>
    <t xml:space="preserve">DECISIONES GERENCIALES</t>
  </si>
  <si>
    <t xml:space="preserve">AHCN0067</t>
  </si>
  <si>
    <t xml:space="preserve">0068</t>
  </si>
  <si>
    <t xml:space="preserve">PLAN DE MERCADEO</t>
  </si>
  <si>
    <t xml:space="preserve">AHCN0068</t>
  </si>
  <si>
    <t xml:space="preserve">0036</t>
  </si>
  <si>
    <t xml:space="preserve">PSICOLOGIA GENERAL I</t>
  </si>
  <si>
    <t xml:space="preserve">AHCN0036</t>
  </si>
  <si>
    <t xml:space="preserve">0038</t>
  </si>
  <si>
    <t xml:space="preserve">PSICOLOGIA GENERAL II</t>
  </si>
  <si>
    <t xml:space="preserve">AHCN0038</t>
  </si>
  <si>
    <t xml:space="preserve">0039</t>
  </si>
  <si>
    <t xml:space="preserve">SOCIOLOGIA</t>
  </si>
  <si>
    <t xml:space="preserve">AHCN0039</t>
  </si>
  <si>
    <t xml:space="preserve">0070</t>
  </si>
  <si>
    <t xml:space="preserve">TECNICAS DE ADMINIST PERSONAL</t>
  </si>
  <si>
    <t xml:space="preserve">AHCN0070</t>
  </si>
  <si>
    <t xml:space="preserve">ADMINIST DE SUELDOS Y SALARIOS</t>
  </si>
  <si>
    <t xml:space="preserve">AHCN0009</t>
  </si>
  <si>
    <t xml:space="preserve">0055</t>
  </si>
  <si>
    <t xml:space="preserve">ECONOMIA LABORAL</t>
  </si>
  <si>
    <t xml:space="preserve">AHCN0055</t>
  </si>
  <si>
    <t xml:space="preserve">0058</t>
  </si>
  <si>
    <t xml:space="preserve">ESTILOS DE DIRECC DE PERSONAL</t>
  </si>
  <si>
    <t xml:space="preserve">AHCN0058</t>
  </si>
  <si>
    <t xml:space="preserve">CCAV0023</t>
  </si>
  <si>
    <t xml:space="preserve">0118</t>
  </si>
  <si>
    <t xml:space="preserve">INFORMATICA PARA ESTADISTICA</t>
  </si>
  <si>
    <t xml:space="preserve">INTI0118</t>
  </si>
  <si>
    <t xml:space="preserve">CSCE0118</t>
  </si>
  <si>
    <t xml:space="preserve">0108</t>
  </si>
  <si>
    <t xml:space="preserve">COMUNICACION EMPRESARIAL</t>
  </si>
  <si>
    <t xml:space="preserve">AHCN0108</t>
  </si>
  <si>
    <t xml:space="preserve">0110</t>
  </si>
  <si>
    <t xml:space="preserve">ELECTIVA HUMANISTICA I</t>
  </si>
  <si>
    <t xml:space="preserve">AHCN0110</t>
  </si>
  <si>
    <t xml:space="preserve">0123</t>
  </si>
  <si>
    <t xml:space="preserve">AHCN0123</t>
  </si>
  <si>
    <t xml:space="preserve">0117</t>
  </si>
  <si>
    <t xml:space="preserve">FILOSOFIA</t>
  </si>
  <si>
    <t xml:space="preserve">CSCE0117</t>
  </si>
  <si>
    <t xml:space="preserve">0111</t>
  </si>
  <si>
    <t xml:space="preserve">GERENCIA DE MERCADEO</t>
  </si>
  <si>
    <t xml:space="preserve">AHCN0111</t>
  </si>
  <si>
    <t xml:space="preserve">LOGICA Y ALGORITMOS</t>
  </si>
  <si>
    <t xml:space="preserve">CNCX0060</t>
  </si>
  <si>
    <t xml:space="preserve">0076</t>
  </si>
  <si>
    <t xml:space="preserve">MODELOS DE PENSAMIENTO</t>
  </si>
  <si>
    <t xml:space="preserve">CSCE0076</t>
  </si>
  <si>
    <t xml:space="preserve">0116</t>
  </si>
  <si>
    <t xml:space="preserve">METODOS Y TECNICAS DE INVESTIG</t>
  </si>
  <si>
    <t xml:space="preserve">AHCN0116</t>
  </si>
  <si>
    <t xml:space="preserve">0112</t>
  </si>
  <si>
    <t xml:space="preserve">AHCN0112</t>
  </si>
  <si>
    <t xml:space="preserve">0047</t>
  </si>
  <si>
    <t xml:space="preserve">PROGRAMACION ESTADISTICA</t>
  </si>
  <si>
    <t xml:space="preserve">INTI0047</t>
  </si>
  <si>
    <t xml:space="preserve">ESTADISTICA INFERENCIAL</t>
  </si>
  <si>
    <t xml:space="preserve">CNCX0017</t>
  </si>
  <si>
    <t xml:space="preserve">0107</t>
  </si>
  <si>
    <t xml:space="preserve">CALIDAD PROFESIONAL</t>
  </si>
  <si>
    <t xml:space="preserve">AHCN0107</t>
  </si>
  <si>
    <t xml:space="preserve">PAQUETES ESTAD ANALISIS GEOREF</t>
  </si>
  <si>
    <t xml:space="preserve">AHCN0118</t>
  </si>
  <si>
    <t xml:space="preserve">0114</t>
  </si>
  <si>
    <t xml:space="preserve">AHCN0114</t>
  </si>
  <si>
    <t xml:space="preserve">ESTRUCTURA DE DATOS ESTADIST</t>
  </si>
  <si>
    <t xml:space="preserve">CNCX0058</t>
  </si>
  <si>
    <t xml:space="preserve">0063</t>
  </si>
  <si>
    <t xml:space="preserve">TECN ESTADIST PRUEBA DE HIPOTE</t>
  </si>
  <si>
    <t xml:space="preserve">CNCX0063</t>
  </si>
  <si>
    <t xml:space="preserve">0109</t>
  </si>
  <si>
    <t xml:space="preserve">ECONOMIA EMPRESARIAL</t>
  </si>
  <si>
    <t xml:space="preserve">AHCN0109</t>
  </si>
  <si>
    <t xml:space="preserve">0057</t>
  </si>
  <si>
    <t xml:space="preserve">DEMOGRAFIA</t>
  </si>
  <si>
    <t xml:space="preserve">CNCX0057</t>
  </si>
  <si>
    <t xml:space="preserve">0119</t>
  </si>
  <si>
    <t xml:space="preserve">PLAN DE NEGOCIOS</t>
  </si>
  <si>
    <t xml:space="preserve">AHCN0119</t>
  </si>
  <si>
    <t xml:space="preserve">MODELOS DE REGRESION</t>
  </si>
  <si>
    <t xml:space="preserve">CNCX0062</t>
  </si>
  <si>
    <t xml:space="preserve">0124</t>
  </si>
  <si>
    <t xml:space="preserve">TECNICAS DE MUESTREO</t>
  </si>
  <si>
    <t xml:space="preserve">AHCN0124</t>
  </si>
  <si>
    <t xml:space="preserve">0120</t>
  </si>
  <si>
    <t xml:space="preserve">PROCESOS ESTRAT MENTORIA EMPR</t>
  </si>
  <si>
    <t xml:space="preserve">AHCN0120</t>
  </si>
  <si>
    <t xml:space="preserve">NEGOCIOS ELECTRONICOS</t>
  </si>
  <si>
    <t xml:space="preserve">AHCN0117</t>
  </si>
  <si>
    <t xml:space="preserve">0061</t>
  </si>
  <si>
    <t xml:space="preserve">MINERIA DE DATOS ESTADISTICOS</t>
  </si>
  <si>
    <t xml:space="preserve">CNCX0061</t>
  </si>
  <si>
    <t xml:space="preserve">0064</t>
  </si>
  <si>
    <t xml:space="preserve">TECN ESTADIST II NO PARAMETRIC</t>
  </si>
  <si>
    <t xml:space="preserve">CNCX0064</t>
  </si>
  <si>
    <t xml:space="preserve">0122</t>
  </si>
  <si>
    <t xml:space="preserve">TECNICA DE DISENO EXPERIMENTAL</t>
  </si>
  <si>
    <t xml:space="preserve">AHCN0122</t>
  </si>
  <si>
    <t xml:space="preserve">INVESTIGACION CUALITATIVA</t>
  </si>
  <si>
    <t xml:space="preserve">CNCX0059</t>
  </si>
  <si>
    <t xml:space="preserve">0115</t>
  </si>
  <si>
    <t xml:space="preserve">METODOS DE PRONOSTICO EMPRES</t>
  </si>
  <si>
    <t xml:space="preserve">AHCN0115</t>
  </si>
  <si>
    <t xml:space="preserve">ANALISIS MULTIVARIADO</t>
  </si>
  <si>
    <t xml:space="preserve">CNCX0056</t>
  </si>
  <si>
    <t xml:space="preserve">0113</t>
  </si>
  <si>
    <t xml:space="preserve">GESTION Y CONSULTORIA EMPRES</t>
  </si>
  <si>
    <t xml:space="preserve">AHCN0113</t>
  </si>
  <si>
    <t xml:space="preserve">0121</t>
  </si>
  <si>
    <t xml:space="preserve">PROYECTO INTEGRADOR</t>
  </si>
  <si>
    <t xml:space="preserve">AHCN0121</t>
  </si>
  <si>
    <t xml:space="preserve">0051</t>
  </si>
  <si>
    <t xml:space="preserve">CONTABILIDAD III</t>
  </si>
  <si>
    <t xml:space="preserve">AHCN0051</t>
  </si>
  <si>
    <t xml:space="preserve">CALCULO ADUANAL</t>
  </si>
  <si>
    <t xml:space="preserve">AHCN0047</t>
  </si>
  <si>
    <t xml:space="preserve">0052</t>
  </si>
  <si>
    <t xml:space="preserve">CONTABILIDAD IV</t>
  </si>
  <si>
    <t xml:space="preserve">AHCN0052</t>
  </si>
  <si>
    <t xml:space="preserve">0087</t>
  </si>
  <si>
    <t xml:space="preserve">LEGISLACION MERCANTIL</t>
  </si>
  <si>
    <t xml:space="preserve">AHCN0087</t>
  </si>
  <si>
    <t xml:space="preserve">0048</t>
  </si>
  <si>
    <t xml:space="preserve">CONTABILIDAD DE COSTOS II</t>
  </si>
  <si>
    <t xml:space="preserve">AHCN0048</t>
  </si>
  <si>
    <t xml:space="preserve">0049</t>
  </si>
  <si>
    <t xml:space="preserve">CONTABILIDAD DE COSTOS III</t>
  </si>
  <si>
    <t xml:space="preserve">AHCN0049</t>
  </si>
  <si>
    <t xml:space="preserve">0054</t>
  </si>
  <si>
    <t xml:space="preserve">DISENOS CONTABLES</t>
  </si>
  <si>
    <t xml:space="preserve">AHCN0054</t>
  </si>
  <si>
    <t xml:space="preserve">CJJU</t>
  </si>
  <si>
    <t xml:space="preserve">DERECHO TRIBUTARIO</t>
  </si>
  <si>
    <t xml:space="preserve">CJJU0033</t>
  </si>
  <si>
    <t xml:space="preserve">0042</t>
  </si>
  <si>
    <t xml:space="preserve">ADMINISTRACION DE INVENTARIOS</t>
  </si>
  <si>
    <t xml:space="preserve">AHCN0042</t>
  </si>
  <si>
    <t xml:space="preserve">0043</t>
  </si>
  <si>
    <t xml:space="preserve">AUDITORIA DE SISTEMAS</t>
  </si>
  <si>
    <t xml:space="preserve">AHCN0043</t>
  </si>
  <si>
    <t xml:space="preserve">FORMACION DESPACHOS CONTA PUBL</t>
  </si>
  <si>
    <t xml:space="preserve">AHCN0060</t>
  </si>
  <si>
    <t xml:space="preserve">GESTION ADUANAL</t>
  </si>
  <si>
    <t xml:space="preserve">AHCN0063</t>
  </si>
  <si>
    <t xml:space="preserve">0035</t>
  </si>
  <si>
    <t xml:space="preserve">LEGISLACION TRIBUTARIA Y MERCA</t>
  </si>
  <si>
    <t xml:space="preserve">AHCN0035</t>
  </si>
  <si>
    <t xml:space="preserve">FINANZAS I</t>
  </si>
  <si>
    <t xml:space="preserve">AHCN0013</t>
  </si>
  <si>
    <t xml:space="preserve">0094</t>
  </si>
  <si>
    <t xml:space="preserve">MACROECONOMIA</t>
  </si>
  <si>
    <t xml:space="preserve">AHCN0094</t>
  </si>
  <si>
    <t xml:space="preserve">0045</t>
  </si>
  <si>
    <t xml:space="preserve">AUDITORIA I</t>
  </si>
  <si>
    <t xml:space="preserve">AHCN0045</t>
  </si>
  <si>
    <t xml:space="preserve">AHCN0057</t>
  </si>
  <si>
    <t xml:space="preserve">0046</t>
  </si>
  <si>
    <t xml:space="preserve">AUDITORIA II</t>
  </si>
  <si>
    <t xml:space="preserve">AHCN0046</t>
  </si>
  <si>
    <t xml:space="preserve">GESTION DE RIESG Y CONTROL INT</t>
  </si>
  <si>
    <t xml:space="preserve">AHCN0064</t>
  </si>
  <si>
    <t xml:space="preserve">0044</t>
  </si>
  <si>
    <t xml:space="preserve">AUDITORIA FORENSE</t>
  </si>
  <si>
    <t xml:space="preserve">AHCN0044</t>
  </si>
  <si>
    <t xml:space="preserve">0095</t>
  </si>
  <si>
    <t xml:space="preserve">GESTION TRIBUTARIA</t>
  </si>
  <si>
    <t xml:space="preserve">AHCN0095</t>
  </si>
  <si>
    <t xml:space="preserve">0069</t>
  </si>
  <si>
    <t xml:space="preserve">RAZONAM MORAL Y DECIS ETICAS</t>
  </si>
  <si>
    <t xml:space="preserve">AHCN0069</t>
  </si>
  <si>
    <t xml:space="preserve">FORMULACION Y EVALUAC DE NEGOC</t>
  </si>
  <si>
    <t xml:space="preserve">AHCN0061</t>
  </si>
  <si>
    <t xml:space="preserve">0050</t>
  </si>
  <si>
    <t xml:space="preserve">CONTABILIDAD GERENCIAL</t>
  </si>
  <si>
    <t xml:space="preserve">AHCN0050</t>
  </si>
  <si>
    <t xml:space="preserve">0065</t>
  </si>
  <si>
    <t xml:space="preserve">AHCN0065</t>
  </si>
  <si>
    <t xml:space="preserve">AHCN2013</t>
  </si>
  <si>
    <t xml:space="preserve">FINANZAS INTERNACIONALES</t>
  </si>
  <si>
    <t xml:space="preserve">AHCN2014</t>
  </si>
  <si>
    <t xml:space="preserve">FORMUL Y EVAL PROYECT DE INVER</t>
  </si>
  <si>
    <t xml:space="preserve">AHCN2015</t>
  </si>
  <si>
    <t xml:space="preserve">SEMINARIO DE INVESTIGACIÓN I</t>
  </si>
  <si>
    <t xml:space="preserve">AHCN2017</t>
  </si>
  <si>
    <t xml:space="preserve">ANÁLISIS ECONÓMICO PARA ADMIN</t>
  </si>
  <si>
    <t xml:space="preserve">AHCN2006</t>
  </si>
  <si>
    <t xml:space="preserve">GERENCIA DE CALIDAD</t>
  </si>
  <si>
    <t xml:space="preserve">AHCN2018</t>
  </si>
  <si>
    <t xml:space="preserve">2019</t>
  </si>
  <si>
    <t xml:space="preserve">SEMINARIO DE INVESTIGACIÓN II</t>
  </si>
  <si>
    <t xml:space="preserve">AHCN2019</t>
  </si>
  <si>
    <t xml:space="preserve">2020</t>
  </si>
  <si>
    <t xml:space="preserve">PLANIFIC DEL RECURSO HUMANO</t>
  </si>
  <si>
    <t xml:space="preserve">AHCN2020</t>
  </si>
  <si>
    <t xml:space="preserve">2021</t>
  </si>
  <si>
    <t xml:space="preserve">AUDITORÍA II</t>
  </si>
  <si>
    <t xml:space="preserve">AHCN2021</t>
  </si>
  <si>
    <t xml:space="preserve">2042</t>
  </si>
  <si>
    <t xml:space="preserve">AHCN2042</t>
  </si>
  <si>
    <t xml:space="preserve">2043</t>
  </si>
  <si>
    <t xml:space="preserve">AHCN2043</t>
  </si>
  <si>
    <t xml:space="preserve">MERCADOS FINANCIEROS INTERNAC</t>
  </si>
  <si>
    <t xml:space="preserve">AHCN2000</t>
  </si>
  <si>
    <t xml:space="preserve">SISTEMAS DE INFORMAC GERENCIAL</t>
  </si>
  <si>
    <t xml:space="preserve">AHCN2001</t>
  </si>
  <si>
    <t xml:space="preserve">LIDERAZGO Y HABILIDADES DIRECT</t>
  </si>
  <si>
    <t xml:space="preserve">AHCN2002</t>
  </si>
  <si>
    <t xml:space="preserve">FORMULAC Y EVAL DE PROYECTOS</t>
  </si>
  <si>
    <t xml:space="preserve">AHCN2003</t>
  </si>
  <si>
    <t xml:space="preserve">AHCN2004</t>
  </si>
  <si>
    <t xml:space="preserve">CREATIVIDAD E INNOVACION</t>
  </si>
  <si>
    <t xml:space="preserve">AHCN2010</t>
  </si>
  <si>
    <t xml:space="preserve">MENTORIA Y MANEJO DE COMPETENC</t>
  </si>
  <si>
    <t xml:space="preserve">AHCN2011</t>
  </si>
  <si>
    <t xml:space="preserve">ESTRATEGIAS Y TÁCTICAS NEGOC</t>
  </si>
  <si>
    <t xml:space="preserve">AHCN2012</t>
  </si>
  <si>
    <t xml:space="preserve">GESTION CADENA DE SUMINISTROS</t>
  </si>
  <si>
    <t xml:space="preserve">AHCN2005</t>
  </si>
  <si>
    <t xml:space="preserve">VALORACION  Y ADQUISICION EMPR</t>
  </si>
  <si>
    <t xml:space="preserve">AHCN2007</t>
  </si>
  <si>
    <t xml:space="preserve">AHCN2008</t>
  </si>
  <si>
    <t xml:space="preserve">AHCN2009</t>
  </si>
  <si>
    <t xml:space="preserve">SISTEMAS DE INFORMACION</t>
  </si>
  <si>
    <t xml:space="preserve">AHCN2016</t>
  </si>
  <si>
    <t xml:space="preserve">2022</t>
  </si>
  <si>
    <t xml:space="preserve">ADMINISTRACION DE LA DISTRIBUC</t>
  </si>
  <si>
    <t xml:space="preserve">AHCN2022</t>
  </si>
  <si>
    <t xml:space="preserve">2027</t>
  </si>
  <si>
    <t xml:space="preserve">INVESTIGACION DE MERCADOS II</t>
  </si>
  <si>
    <t xml:space="preserve">AHCN2027</t>
  </si>
  <si>
    <t xml:space="preserve">2028</t>
  </si>
  <si>
    <t xml:space="preserve">MERCADEO DE SERVICIOS</t>
  </si>
  <si>
    <t xml:space="preserve">AHCN2028</t>
  </si>
  <si>
    <t xml:space="preserve">2024</t>
  </si>
  <si>
    <t xml:space="preserve">COMPORTAMIENTO DEL CONSUMIDOR</t>
  </si>
  <si>
    <t xml:space="preserve">AHCN2024</t>
  </si>
  <si>
    <t xml:space="preserve">2030</t>
  </si>
  <si>
    <t xml:space="preserve">AHCN2030</t>
  </si>
  <si>
    <t xml:space="preserve">2045</t>
  </si>
  <si>
    <t xml:space="preserve">AHCN2045</t>
  </si>
  <si>
    <t xml:space="preserve">2046</t>
  </si>
  <si>
    <t xml:space="preserve">AHCN2046</t>
  </si>
  <si>
    <t xml:space="preserve">2025</t>
  </si>
  <si>
    <t xml:space="preserve">DESARROLLO ORGANIZACIONAL</t>
  </si>
  <si>
    <t xml:space="preserve">AHCN2025</t>
  </si>
  <si>
    <t xml:space="preserve">2023</t>
  </si>
  <si>
    <t xml:space="preserve">CAPACITACION Y DESARROLLO</t>
  </si>
  <si>
    <t xml:space="preserve">AHCN2023</t>
  </si>
  <si>
    <t xml:space="preserve">2031</t>
  </si>
  <si>
    <t xml:space="preserve">AHCN2031</t>
  </si>
  <si>
    <t xml:space="preserve">2026</t>
  </si>
  <si>
    <t xml:space="preserve">GESTION GERENCIAL</t>
  </si>
  <si>
    <t xml:space="preserve">AHCN2026</t>
  </si>
  <si>
    <t xml:space="preserve">2029</t>
  </si>
  <si>
    <t xml:space="preserve">RECLUTAM Y SELECCION AVANZADA</t>
  </si>
  <si>
    <t xml:space="preserve">AHCN2029</t>
  </si>
  <si>
    <t xml:space="preserve">2032</t>
  </si>
  <si>
    <t xml:space="preserve">SEMINARIO DE GRADUACCION II</t>
  </si>
  <si>
    <t xml:space="preserve">AHCN2032</t>
  </si>
  <si>
    <t xml:space="preserve">2047</t>
  </si>
  <si>
    <t xml:space="preserve">AHCN2047</t>
  </si>
  <si>
    <t xml:space="preserve">2048</t>
  </si>
  <si>
    <t xml:space="preserve">AHCN2048</t>
  </si>
  <si>
    <t xml:space="preserve">2051</t>
  </si>
  <si>
    <t xml:space="preserve">CONTABILIDAD SUPERIOR I</t>
  </si>
  <si>
    <t xml:space="preserve">AHCN2051</t>
  </si>
  <si>
    <t xml:space="preserve">2052</t>
  </si>
  <si>
    <t xml:space="preserve">AUDITORIA OPERATIVA</t>
  </si>
  <si>
    <t xml:space="preserve">AHCN2052</t>
  </si>
  <si>
    <t xml:space="preserve">2053</t>
  </si>
  <si>
    <t xml:space="preserve">AUDITORIA INFORMATICA</t>
  </si>
  <si>
    <t xml:space="preserve">AHCN2053</t>
  </si>
  <si>
    <t xml:space="preserve">2054</t>
  </si>
  <si>
    <t xml:space="preserve">AUDITORIA FINANCIERA</t>
  </si>
  <si>
    <t xml:space="preserve">AHCN2054</t>
  </si>
  <si>
    <t xml:space="preserve">2055</t>
  </si>
  <si>
    <t xml:space="preserve">AUDITORIA TRIBUTARIA</t>
  </si>
  <si>
    <t xml:space="preserve">AHCN2055</t>
  </si>
  <si>
    <t xml:space="preserve">2056</t>
  </si>
  <si>
    <t xml:space="preserve">CONTABILIDAD SUPERIOR II</t>
  </si>
  <si>
    <t xml:space="preserve">AHCN2056</t>
  </si>
  <si>
    <t xml:space="preserve">2057</t>
  </si>
  <si>
    <t xml:space="preserve">CONSULT E INFORMES FINANC CPA</t>
  </si>
  <si>
    <t xml:space="preserve">AHCN2057</t>
  </si>
  <si>
    <t xml:space="preserve">2058</t>
  </si>
  <si>
    <t xml:space="preserve">PLANIFICACION Y PRESUPUESTO</t>
  </si>
  <si>
    <t xml:space="preserve">AHCN2058</t>
  </si>
  <si>
    <t xml:space="preserve">2059</t>
  </si>
  <si>
    <t xml:space="preserve">SEMINARIO GRADUACION</t>
  </si>
  <si>
    <t xml:space="preserve">AHCN2059</t>
  </si>
  <si>
    <t xml:space="preserve">2049</t>
  </si>
  <si>
    <t xml:space="preserve">AHCN2049</t>
  </si>
  <si>
    <t xml:space="preserve">2050</t>
  </si>
  <si>
    <t xml:space="preserve">AHCN2050</t>
  </si>
  <si>
    <t xml:space="preserve">TEORIA DE LA EDUCACION</t>
  </si>
  <si>
    <t xml:space="preserve">CSCE2000</t>
  </si>
  <si>
    <t xml:space="preserve">NUEVOS ENTORNOS DE APRENDIZAJ</t>
  </si>
  <si>
    <t xml:space="preserve">CSCE2001</t>
  </si>
  <si>
    <t xml:space="preserve">DISENO CURRICULAR</t>
  </si>
  <si>
    <t xml:space="preserve">CSCE2002</t>
  </si>
  <si>
    <t xml:space="preserve">EVALUACION DEL APRENDIZAJE</t>
  </si>
  <si>
    <t xml:space="preserve">CSCE2003</t>
  </si>
  <si>
    <t xml:space="preserve">DES APR ETAPAS CIC VIT SER HUM</t>
  </si>
  <si>
    <t xml:space="preserve">CSCE2004</t>
  </si>
  <si>
    <t xml:space="preserve">ENTORNO LEGAL EDUCACION CR</t>
  </si>
  <si>
    <t xml:space="preserve">CSCE2005</t>
  </si>
  <si>
    <t xml:space="preserve">CSCE2006</t>
  </si>
  <si>
    <t xml:space="preserve">ATENCION DIVERSIDAD EDUCAC CR</t>
  </si>
  <si>
    <t xml:space="preserve">CSCE2007</t>
  </si>
  <si>
    <t xml:space="preserve">CSCE2008</t>
  </si>
  <si>
    <t xml:space="preserve">CSCE2009</t>
  </si>
  <si>
    <t xml:space="preserve">FUND. HIST Y FILOSOF. EDUC</t>
  </si>
  <si>
    <t xml:space="preserve">CSCE0101</t>
  </si>
  <si>
    <t xml:space="preserve">CIENCIAS I</t>
  </si>
  <si>
    <t xml:space="preserve">CSCE0002</t>
  </si>
  <si>
    <t xml:space="preserve">ESTUDIOS SOCIALES I</t>
  </si>
  <si>
    <t xml:space="preserve">CSCE0003</t>
  </si>
  <si>
    <t xml:space="preserve">CSCE0004</t>
  </si>
  <si>
    <t xml:space="preserve">CIENCIAS II</t>
  </si>
  <si>
    <t xml:space="preserve">CSCE0123</t>
  </si>
  <si>
    <t xml:space="preserve">TECNICAS DE LECTOESCRITURA</t>
  </si>
  <si>
    <t xml:space="preserve">CSCE0006</t>
  </si>
  <si>
    <t xml:space="preserve">ESTUDIOS SOCIALES II</t>
  </si>
  <si>
    <t xml:space="preserve">CSCE0124</t>
  </si>
  <si>
    <t xml:space="preserve">0125</t>
  </si>
  <si>
    <t xml:space="preserve">DESTREZAS DEL IDIOMA</t>
  </si>
  <si>
    <t xml:space="preserve">CSCE0125</t>
  </si>
  <si>
    <t xml:space="preserve">0126</t>
  </si>
  <si>
    <t xml:space="preserve">CSCE0126</t>
  </si>
  <si>
    <t xml:space="preserve">DIDACTICA I</t>
  </si>
  <si>
    <t xml:space="preserve">CSCE0010</t>
  </si>
  <si>
    <t xml:space="preserve">EVALUACION I PARA I Y II CICLO</t>
  </si>
  <si>
    <t xml:space="preserve">CSCE0011</t>
  </si>
  <si>
    <t xml:space="preserve">TALLER MATERIALES DIDACTICOS</t>
  </si>
  <si>
    <t xml:space="preserve">CSCE0012</t>
  </si>
  <si>
    <t xml:space="preserve">DIDACTICA II</t>
  </si>
  <si>
    <t xml:space="preserve">CSCE0013</t>
  </si>
  <si>
    <t xml:space="preserve">CSCE0014</t>
  </si>
  <si>
    <t xml:space="preserve">EVALUAC II PARA I Y II CICLO</t>
  </si>
  <si>
    <t xml:space="preserve">CSCE0015</t>
  </si>
  <si>
    <t xml:space="preserve">IMPOSTACION DE LA VOZ</t>
  </si>
  <si>
    <t xml:space="preserve">CSCE0016</t>
  </si>
  <si>
    <t xml:space="preserve">EXPRESION CORPORAL</t>
  </si>
  <si>
    <t xml:space="preserve">CSCE0017</t>
  </si>
  <si>
    <t xml:space="preserve">PROBLEMAS DEL APRENDIZAJE</t>
  </si>
  <si>
    <t xml:space="preserve">CSCE0018</t>
  </si>
  <si>
    <t xml:space="preserve">EXPRESION CREADORA</t>
  </si>
  <si>
    <t xml:space="preserve">CSCE0019</t>
  </si>
  <si>
    <t xml:space="preserve">PSICOLOGIA DEL NINO EDAD ESCOL</t>
  </si>
  <si>
    <t xml:space="preserve">CSCE0021</t>
  </si>
  <si>
    <t xml:space="preserve">PROY MEJORAMIENTO ENSENANZA</t>
  </si>
  <si>
    <t xml:space="preserve">CSCE0022</t>
  </si>
  <si>
    <t xml:space="preserve">PRACTICA PROFESIONAL</t>
  </si>
  <si>
    <t xml:space="preserve">CSCE0023</t>
  </si>
  <si>
    <t xml:space="preserve">SEMINARIO DE PRACTICA DOCENTE</t>
  </si>
  <si>
    <t xml:space="preserve">CSCE0024</t>
  </si>
  <si>
    <t xml:space="preserve">AHCN0004</t>
  </si>
  <si>
    <t xml:space="preserve">PSICOLOGIA DE LA EDUCACION</t>
  </si>
  <si>
    <t xml:space="preserve">CSCE0051</t>
  </si>
  <si>
    <t xml:space="preserve">PRINCIPIOS CUANTITATIVOS</t>
  </si>
  <si>
    <t xml:space="preserve">CNCX0050</t>
  </si>
  <si>
    <t xml:space="preserve">FUNDAMENTOS DEL CURRICULUM</t>
  </si>
  <si>
    <t xml:space="preserve">CSCE0095</t>
  </si>
  <si>
    <t xml:space="preserve">CONTABILIDAD I</t>
  </si>
  <si>
    <t xml:space="preserve">AHCN0001</t>
  </si>
  <si>
    <t xml:space="preserve">0089</t>
  </si>
  <si>
    <t xml:space="preserve">AHCN0089</t>
  </si>
  <si>
    <t xml:space="preserve">LEGISLACION EDUCAT Y REGIM JUR</t>
  </si>
  <si>
    <t xml:space="preserve">CSCE0091</t>
  </si>
  <si>
    <t xml:space="preserve">0100</t>
  </si>
  <si>
    <t xml:space="preserve">LEGISLACION TRIBUT Y MERCANT</t>
  </si>
  <si>
    <t xml:space="preserve">CSCE0100</t>
  </si>
  <si>
    <t xml:space="preserve">TALLER PEDAGOGICO</t>
  </si>
  <si>
    <t xml:space="preserve">CSCE0116</t>
  </si>
  <si>
    <t xml:space="preserve">0128</t>
  </si>
  <si>
    <t xml:space="preserve">CSCE0128</t>
  </si>
  <si>
    <t xml:space="preserve">INGLES TECNICO</t>
  </si>
  <si>
    <t xml:space="preserve">CSID0100</t>
  </si>
  <si>
    <t xml:space="preserve">AUDITORIA</t>
  </si>
  <si>
    <t xml:space="preserve">AHCN0101</t>
  </si>
  <si>
    <t xml:space="preserve">FUND DE LA EDUCACION MEDIA</t>
  </si>
  <si>
    <t xml:space="preserve">CSCE0049</t>
  </si>
  <si>
    <t xml:space="preserve">SALUD OCUPACIONAL</t>
  </si>
  <si>
    <t xml:space="preserve">HSHM0035</t>
  </si>
  <si>
    <t xml:space="preserve">0090</t>
  </si>
  <si>
    <t xml:space="preserve">SISTEMAS CONTABLES</t>
  </si>
  <si>
    <t xml:space="preserve">AHCN0090</t>
  </si>
  <si>
    <t xml:space="preserve">0077</t>
  </si>
  <si>
    <t xml:space="preserve">ETICA Y DERECHOS HUMANOS</t>
  </si>
  <si>
    <t xml:space="preserve">CSCE0077</t>
  </si>
  <si>
    <t xml:space="preserve">APLIC COMPUTACION CONTABILIDAD</t>
  </si>
  <si>
    <t xml:space="preserve">INTI0110</t>
  </si>
  <si>
    <t xml:space="preserve">PRACTICA DOCENTE</t>
  </si>
  <si>
    <t xml:space="preserve">CSCE0030</t>
  </si>
  <si>
    <t xml:space="preserve">CNCX0043</t>
  </si>
  <si>
    <t xml:space="preserve">INTRODUCCION A LA INFORMATICA</t>
  </si>
  <si>
    <t xml:space="preserve">INTI0060</t>
  </si>
  <si>
    <t xml:space="preserve">LENGUAJE LOGO</t>
  </si>
  <si>
    <t xml:space="preserve">INTI0113</t>
  </si>
  <si>
    <t xml:space="preserve">UTILIZACION DEL SOFTWARE</t>
  </si>
  <si>
    <t xml:space="preserve">INTI0104</t>
  </si>
  <si>
    <t xml:space="preserve">0088</t>
  </si>
  <si>
    <t xml:space="preserve">GESTION EMPRESARIAL</t>
  </si>
  <si>
    <t xml:space="preserve">AHCN0088</t>
  </si>
  <si>
    <t xml:space="preserve">PROGRAMACION I</t>
  </si>
  <si>
    <t xml:space="preserve">INTI0052</t>
  </si>
  <si>
    <t xml:space="preserve">PAQUETES COMPUTACIONALES I</t>
  </si>
  <si>
    <t xml:space="preserve">INTI0105</t>
  </si>
  <si>
    <t xml:space="preserve">PROGRAMACION II</t>
  </si>
  <si>
    <t xml:space="preserve">INTI0053</t>
  </si>
  <si>
    <t xml:space="preserve">PAQUETES COMPUTACIONALES II</t>
  </si>
  <si>
    <t xml:space="preserve">INTI0106</t>
  </si>
  <si>
    <t xml:space="preserve">0082</t>
  </si>
  <si>
    <t xml:space="preserve">DIDACTICA DE LA INFORMATICA</t>
  </si>
  <si>
    <t xml:space="preserve">CSCE0082</t>
  </si>
  <si>
    <t xml:space="preserve">PROGRAMACION III</t>
  </si>
  <si>
    <t xml:space="preserve">INTI0054</t>
  </si>
  <si>
    <t xml:space="preserve">ANALISIS DE SISTEMAS</t>
  </si>
  <si>
    <t xml:space="preserve">INTI0117</t>
  </si>
  <si>
    <t xml:space="preserve">TEORIA DE SISTEMAS</t>
  </si>
  <si>
    <t xml:space="preserve">INTI0116</t>
  </si>
  <si>
    <t xml:space="preserve">MET Y TEC DE INVESTIGACION</t>
  </si>
  <si>
    <t xml:space="preserve">CSCE0062</t>
  </si>
  <si>
    <t xml:space="preserve">APLIC COMPUTACION EN LA ENSENA</t>
  </si>
  <si>
    <t xml:space="preserve">INTI0112</t>
  </si>
  <si>
    <t xml:space="preserve">MANTENIMIENTO DE COMPUTADORAS</t>
  </si>
  <si>
    <t xml:space="preserve">INTI0114</t>
  </si>
  <si>
    <t xml:space="preserve">TELEPROCESO DE REDES</t>
  </si>
  <si>
    <t xml:space="preserve">INTI0021</t>
  </si>
  <si>
    <t xml:space="preserve">PRACTICA DIRIGIDA</t>
  </si>
  <si>
    <t xml:space="preserve">CSCE0105</t>
  </si>
  <si>
    <t xml:space="preserve">PRINCIPIOS CUANTITATIVOS I</t>
  </si>
  <si>
    <t xml:space="preserve">CNCX0051</t>
  </si>
  <si>
    <t xml:space="preserve">PRINCIPIOS CUANTITATIVOS II</t>
  </si>
  <si>
    <t xml:space="preserve">CNCX0052</t>
  </si>
  <si>
    <t xml:space="preserve">PRINCIPIOS DE FISICA</t>
  </si>
  <si>
    <t xml:space="preserve">CNCX0054</t>
  </si>
  <si>
    <t xml:space="preserve">HISTORIA DE LAS MATEMATICAS</t>
  </si>
  <si>
    <t xml:space="preserve">CNCX0045</t>
  </si>
  <si>
    <t xml:space="preserve">PRINCIPIOS CUANTITATIVOS III</t>
  </si>
  <si>
    <t xml:space="preserve">CNCX0046</t>
  </si>
  <si>
    <t xml:space="preserve">MEDICION Y EVALUACION EDUCAT</t>
  </si>
  <si>
    <t xml:space="preserve">CSCE0093</t>
  </si>
  <si>
    <t xml:space="preserve">CALCULO DIFERENCIAL</t>
  </si>
  <si>
    <t xml:space="preserve">CNCX0015</t>
  </si>
  <si>
    <t xml:space="preserve">ESTADISTICA Y PROBABILIDADES</t>
  </si>
  <si>
    <t xml:space="preserve">CNCX0018</t>
  </si>
  <si>
    <t xml:space="preserve">ALGEBRA</t>
  </si>
  <si>
    <t xml:space="preserve">CNCX0012</t>
  </si>
  <si>
    <t xml:space="preserve">ALGEBRA LINEAL</t>
  </si>
  <si>
    <t xml:space="preserve">CNCX0011</t>
  </si>
  <si>
    <t xml:space="preserve">0040</t>
  </si>
  <si>
    <t xml:space="preserve">GEOMETRIA I</t>
  </si>
  <si>
    <t xml:space="preserve">CNCX0040</t>
  </si>
  <si>
    <t xml:space="preserve">CALCULO INTEGRAL</t>
  </si>
  <si>
    <t xml:space="preserve">CNCX0016</t>
  </si>
  <si>
    <t xml:space="preserve">GEOMETRIA II</t>
  </si>
  <si>
    <t xml:space="preserve">CNCX0041</t>
  </si>
  <si>
    <t xml:space="preserve">PRINCIPIOS CUANTITATIVOS IV</t>
  </si>
  <si>
    <t xml:space="preserve">CNCX0053</t>
  </si>
  <si>
    <t xml:space="preserve">ECUACIONES DIFERENCIALES</t>
  </si>
  <si>
    <t xml:space="preserve">CNCX0009</t>
  </si>
  <si>
    <t xml:space="preserve">0084</t>
  </si>
  <si>
    <t xml:space="preserve">DIDACTICA DE LAS MATEMATICAS</t>
  </si>
  <si>
    <t xml:space="preserve">CSCE0084</t>
  </si>
  <si>
    <t xml:space="preserve">ANALISIS</t>
  </si>
  <si>
    <t xml:space="preserve">CNCX0044</t>
  </si>
  <si>
    <t xml:space="preserve">FUNDAMENTOS DE BIOMATEMATICA</t>
  </si>
  <si>
    <t xml:space="preserve">CNCX0039</t>
  </si>
  <si>
    <t xml:space="preserve">APLIC COMPUTACION  MATEMATICA</t>
  </si>
  <si>
    <t xml:space="preserve">INTI0108</t>
  </si>
  <si>
    <t xml:space="preserve">FISICA I</t>
  </si>
  <si>
    <t xml:space="preserve">CNCX0036</t>
  </si>
  <si>
    <t xml:space="preserve">QUIMICA I</t>
  </si>
  <si>
    <t xml:space="preserve">CNCX0055</t>
  </si>
  <si>
    <t xml:space="preserve">0079</t>
  </si>
  <si>
    <t xml:space="preserve">GEOGRAFIA FISICA</t>
  </si>
  <si>
    <t xml:space="preserve">CSCE0079</t>
  </si>
  <si>
    <t xml:space="preserve">BIOLOGIA I</t>
  </si>
  <si>
    <t xml:space="preserve">CNCX0065</t>
  </si>
  <si>
    <t xml:space="preserve">FISICA II</t>
  </si>
  <si>
    <t xml:space="preserve">CNCX0037</t>
  </si>
  <si>
    <t xml:space="preserve">BIOLOGIA II</t>
  </si>
  <si>
    <t xml:space="preserve">CNCX0066</t>
  </si>
  <si>
    <t xml:space="preserve">QUIMICA II</t>
  </si>
  <si>
    <t xml:space="preserve">CNCX0047</t>
  </si>
  <si>
    <t xml:space="preserve">0083</t>
  </si>
  <si>
    <t xml:space="preserve">DIDACTICA DE LAS CIENCIAS I</t>
  </si>
  <si>
    <t xml:space="preserve">CSCE0083</t>
  </si>
  <si>
    <t xml:space="preserve">0081</t>
  </si>
  <si>
    <t xml:space="preserve">COSMOGRAFIA</t>
  </si>
  <si>
    <t xml:space="preserve">CSCE0081</t>
  </si>
  <si>
    <t xml:space="preserve">FISICA III</t>
  </si>
  <si>
    <t xml:space="preserve">CNCX0067</t>
  </si>
  <si>
    <t xml:space="preserve">QUIMICA III</t>
  </si>
  <si>
    <t xml:space="preserve">CNCX0048</t>
  </si>
  <si>
    <t xml:space="preserve">DIDACTICA DE LAS CIENCIAS II</t>
  </si>
  <si>
    <t xml:space="preserve">CSCE0119</t>
  </si>
  <si>
    <t xml:space="preserve">0086</t>
  </si>
  <si>
    <t xml:space="preserve">ECOLOG E HIST NATUR COSTA RICA</t>
  </si>
  <si>
    <t xml:space="preserve">CSCE0086</t>
  </si>
  <si>
    <t xml:space="preserve">QUIMICA ORGANICA</t>
  </si>
  <si>
    <t xml:space="preserve">CNCX0049</t>
  </si>
  <si>
    <t xml:space="preserve">EDUCACION PARA LA SALUD</t>
  </si>
  <si>
    <t xml:space="preserve">CSCE0087</t>
  </si>
  <si>
    <t xml:space="preserve">BIOTECNOLOGIA</t>
  </si>
  <si>
    <t xml:space="preserve">CNCX0035</t>
  </si>
  <si>
    <t xml:space="preserve">APLIC COMPUTACIONALES ENS CIEN</t>
  </si>
  <si>
    <t xml:space="preserve">INTI0109</t>
  </si>
  <si>
    <t xml:space="preserve">INTRODUC ESTUDIOS SOCIALES</t>
  </si>
  <si>
    <t xml:space="preserve">CSCE0050</t>
  </si>
  <si>
    <t xml:space="preserve">TEND COMT ENFOQUES HIST GEOGR</t>
  </si>
  <si>
    <t xml:space="preserve">CSCE0052</t>
  </si>
  <si>
    <t xml:space="preserve">CRECIMIENTO Y DESAR  ADOLESC</t>
  </si>
  <si>
    <t xml:space="preserve">CSCE0056</t>
  </si>
  <si>
    <t xml:space="preserve">HISTORIA DE COSTA RICA II</t>
  </si>
  <si>
    <t xml:space="preserve">CSCE0057</t>
  </si>
  <si>
    <t xml:space="preserve">HISTORIA DE AMERICA II</t>
  </si>
  <si>
    <t xml:space="preserve">CSCE0058</t>
  </si>
  <si>
    <t xml:space="preserve">MEDICION Y EVALUACION I</t>
  </si>
  <si>
    <t xml:space="preserve">CSCE0059</t>
  </si>
  <si>
    <t xml:space="preserve">HISTORIA DE COSTA RICA III</t>
  </si>
  <si>
    <t xml:space="preserve">CSCE0060</t>
  </si>
  <si>
    <t xml:space="preserve">CSCE0061</t>
  </si>
  <si>
    <t xml:space="preserve">DIDACTICA  ESTUDIOS SOCIALES</t>
  </si>
  <si>
    <t xml:space="preserve">CSCE0063</t>
  </si>
  <si>
    <t xml:space="preserve">MEDICION Y EVALUACION II</t>
  </si>
  <si>
    <t xml:space="preserve">CSCE0064</t>
  </si>
  <si>
    <t xml:space="preserve">GEOGRAFIA MUNDIAL I</t>
  </si>
  <si>
    <t xml:space="preserve">CSCE0065</t>
  </si>
  <si>
    <t xml:space="preserve">CSCE0066</t>
  </si>
  <si>
    <t xml:space="preserve">GEOGRAFIA MUNDIAL II</t>
  </si>
  <si>
    <t xml:space="preserve">CSCE0068</t>
  </si>
  <si>
    <t xml:space="preserve">HISTORIA MUNDIAL III</t>
  </si>
  <si>
    <t xml:space="preserve">CSCE0069</t>
  </si>
  <si>
    <t xml:space="preserve">LA TECN  ENSENANZA DE LOS EST</t>
  </si>
  <si>
    <t xml:space="preserve">CSCE0070</t>
  </si>
  <si>
    <t xml:space="preserve">0071</t>
  </si>
  <si>
    <t xml:space="preserve">GEOGRAFIA DE COSTA RICA</t>
  </si>
  <si>
    <t xml:space="preserve">CSCE0071</t>
  </si>
  <si>
    <t xml:space="preserve">0072</t>
  </si>
  <si>
    <t xml:space="preserve">GEOGRAFIA MUNDIAL III</t>
  </si>
  <si>
    <t xml:space="preserve">CSCE0072</t>
  </si>
  <si>
    <t xml:space="preserve">0073</t>
  </si>
  <si>
    <t xml:space="preserve">LA EDUCACION CIUDADANA</t>
  </si>
  <si>
    <t xml:space="preserve">CSCE0073</t>
  </si>
  <si>
    <t xml:space="preserve">0075</t>
  </si>
  <si>
    <t xml:space="preserve">PROBLEM COSTA RICA COMTEMPORAN</t>
  </si>
  <si>
    <t xml:space="preserve">CSCE0075</t>
  </si>
  <si>
    <t xml:space="preserve">0127</t>
  </si>
  <si>
    <t xml:space="preserve">PRACTICA SUPERVISADA</t>
  </si>
  <si>
    <t xml:space="preserve">CSCE0127</t>
  </si>
  <si>
    <t xml:space="preserve">ORIGEN Y EVOLUCION DEL ESPANOL</t>
  </si>
  <si>
    <t xml:space="preserve">CSCE0104</t>
  </si>
  <si>
    <t xml:space="preserve">SEMINARIO DE LENGUAS CLASICAS</t>
  </si>
  <si>
    <t xml:space="preserve">CSCE0110</t>
  </si>
  <si>
    <t xml:space="preserve">FILOSOFIA DE LA EDUCACION</t>
  </si>
  <si>
    <t xml:space="preserve">CSCE0092</t>
  </si>
  <si>
    <t xml:space="preserve">0096</t>
  </si>
  <si>
    <t xml:space="preserve">GRAMATICA ESPANOLA I</t>
  </si>
  <si>
    <t xml:space="preserve">CSCE0096</t>
  </si>
  <si>
    <t xml:space="preserve">0129</t>
  </si>
  <si>
    <t xml:space="preserve">PRODUCCION DE TEXTO ESCRITO</t>
  </si>
  <si>
    <t xml:space="preserve">CSCE0129</t>
  </si>
  <si>
    <t xml:space="preserve">0080</t>
  </si>
  <si>
    <t xml:space="preserve">GRAMATICA ESPANOLA II</t>
  </si>
  <si>
    <t xml:space="preserve">CSCE0080</t>
  </si>
  <si>
    <t xml:space="preserve">PERSPECTIVAS GENERAL TEOR LITE</t>
  </si>
  <si>
    <t xml:space="preserve">CSCE0089</t>
  </si>
  <si>
    <t xml:space="preserve">PRODUCCION DEL TEXTO ORAL</t>
  </si>
  <si>
    <t xml:space="preserve">CSCE0109</t>
  </si>
  <si>
    <t xml:space="preserve">SEMINARIO LITERATURA CLASICA</t>
  </si>
  <si>
    <t xml:space="preserve">CSCE0111</t>
  </si>
  <si>
    <t xml:space="preserve">PAQUETES COMPUTACIONALES</t>
  </si>
  <si>
    <t xml:space="preserve">INTI0103</t>
  </si>
  <si>
    <t xml:space="preserve">PROCESO DE INVESTIG LITERARIA</t>
  </si>
  <si>
    <t xml:space="preserve">CSCE0107</t>
  </si>
  <si>
    <t xml:space="preserve">ELEMENT LINGUIST Y FILOLOG ESP</t>
  </si>
  <si>
    <t xml:space="preserve">CSCE0088</t>
  </si>
  <si>
    <t xml:space="preserve">APLICAC  INF ENSENANZA DEL ESP</t>
  </si>
  <si>
    <t xml:space="preserve">INTI0111</t>
  </si>
  <si>
    <t xml:space="preserve">LEGIS EDUC Y REGIMEN JURIDICO</t>
  </si>
  <si>
    <t xml:space="preserve">CSCE0098</t>
  </si>
  <si>
    <t xml:space="preserve">SEMINARIO LITERATURA ESPANOLA</t>
  </si>
  <si>
    <t xml:space="preserve">CSCE0113</t>
  </si>
  <si>
    <t xml:space="preserve">INTRO TEORIAS CRITICAS DEL DI</t>
  </si>
  <si>
    <t xml:space="preserve">CSCE0097</t>
  </si>
  <si>
    <t xml:space="preserve">0085</t>
  </si>
  <si>
    <t xml:space="preserve">DIDACTICA DEL ESPANOL</t>
  </si>
  <si>
    <t xml:space="preserve">CSCE0085</t>
  </si>
  <si>
    <t xml:space="preserve">SEMINARIO  LITERAT HISPANOAMER</t>
  </si>
  <si>
    <t xml:space="preserve">CSCE0115</t>
  </si>
  <si>
    <t xml:space="preserve">PRAGMATICA LINGÜISTICA</t>
  </si>
  <si>
    <t xml:space="preserve">CSCE0106</t>
  </si>
  <si>
    <t xml:space="preserve">SEMINARIO  LITERAT COSTARRIC</t>
  </si>
  <si>
    <t xml:space="preserve">CSCE0112</t>
  </si>
  <si>
    <t xml:space="preserve">SEMINARIO LITERAT EXTRANJERA</t>
  </si>
  <si>
    <t xml:space="preserve">CSCE0114</t>
  </si>
  <si>
    <t xml:space="preserve">FUND CIENCIAS DE EDUCACION I</t>
  </si>
  <si>
    <t xml:space="preserve">CSCE0025</t>
  </si>
  <si>
    <t xml:space="preserve">ESTIMUL DESARROL INTEGRAL NINO</t>
  </si>
  <si>
    <t xml:space="preserve">CSCE0026</t>
  </si>
  <si>
    <t xml:space="preserve">ORTOGRAFIA TECS RED PROFES</t>
  </si>
  <si>
    <t xml:space="preserve">CSCE0027</t>
  </si>
  <si>
    <t xml:space="preserve">PRINC INVEST Y ANALIS ESTADIST</t>
  </si>
  <si>
    <t xml:space="preserve">CSCE0028</t>
  </si>
  <si>
    <t xml:space="preserve">FUND CIENCIAS DE EDUCACION II</t>
  </si>
  <si>
    <t xml:space="preserve">CSCE0029</t>
  </si>
  <si>
    <t xml:space="preserve">ARTES DEL IDIOMA</t>
  </si>
  <si>
    <t xml:space="preserve">CSCE0031</t>
  </si>
  <si>
    <t xml:space="preserve">PSICOLOGIA EDUC PREESCOLAR I</t>
  </si>
  <si>
    <t xml:space="preserve">CSCE0032</t>
  </si>
  <si>
    <t xml:space="preserve">FUNDAMENTOS DE LA MUSICA</t>
  </si>
  <si>
    <t xml:space="preserve">CSCE0033</t>
  </si>
  <si>
    <t xml:space="preserve">ARTES Y MATERIALES</t>
  </si>
  <si>
    <t xml:space="preserve">CSCE0034</t>
  </si>
  <si>
    <t xml:space="preserve">EDUC POR MEDIO DEL MOVIMIENTO</t>
  </si>
  <si>
    <t xml:space="preserve">CSCE0035</t>
  </si>
  <si>
    <t xml:space="preserve">PSICOLOGIA EDUC PREESCOLAR II</t>
  </si>
  <si>
    <t xml:space="preserve">CSCE0036</t>
  </si>
  <si>
    <t xml:space="preserve">EPISTEMOLOGIA DE LA EDUCACION</t>
  </si>
  <si>
    <t xml:space="preserve">CSCE0037</t>
  </si>
  <si>
    <t xml:space="preserve">CIENCIAS EDUCACION PREESCOLAR</t>
  </si>
  <si>
    <t xml:space="preserve">CSCE0038</t>
  </si>
  <si>
    <t xml:space="preserve">CURRICULUM</t>
  </si>
  <si>
    <t xml:space="preserve">CSCE0039</t>
  </si>
  <si>
    <t xml:space="preserve">EL NINO EXCEPCIONAL</t>
  </si>
  <si>
    <t xml:space="preserve">CSCE0040</t>
  </si>
  <si>
    <t xml:space="preserve">ESTUDIOS SOCIALES</t>
  </si>
  <si>
    <t xml:space="preserve">CSCE0041</t>
  </si>
  <si>
    <t xml:space="preserve">EVALUAC EDUCACION PREESCOLAR</t>
  </si>
  <si>
    <t xml:space="preserve">CSCE0042</t>
  </si>
  <si>
    <t xml:space="preserve">METOD Y TECN  TRABAJO EN GRUPO</t>
  </si>
  <si>
    <t xml:space="preserve">CSCE0043</t>
  </si>
  <si>
    <t xml:space="preserve">MATEMATICA EDUCAC PREESCOLAR</t>
  </si>
  <si>
    <t xml:space="preserve">CSCE0044</t>
  </si>
  <si>
    <t xml:space="preserve">JUEGOS EN EDUCACION PREESCOLAR</t>
  </si>
  <si>
    <t xml:space="preserve">CSCE0045</t>
  </si>
  <si>
    <t xml:space="preserve">NUTRICION Y SALUD</t>
  </si>
  <si>
    <t xml:space="preserve">HSHM0034</t>
  </si>
  <si>
    <t xml:space="preserve">ADMINISTRAC CENTROS INFANTILES</t>
  </si>
  <si>
    <t xml:space="preserve">CSCE0046</t>
  </si>
  <si>
    <t xml:space="preserve">APLIC COMPUTACION EDUCACION</t>
  </si>
  <si>
    <t xml:space="preserve">INTI0059</t>
  </si>
  <si>
    <t xml:space="preserve">PROY MEJORAM ENSENANZA APREND</t>
  </si>
  <si>
    <t xml:space="preserve">CSCE0047</t>
  </si>
  <si>
    <t xml:space="preserve">CSCE0048</t>
  </si>
  <si>
    <t xml:space="preserve">2034</t>
  </si>
  <si>
    <t xml:space="preserve">LOGICA Y PROBABILIDADES</t>
  </si>
  <si>
    <t xml:space="preserve">CSCE2034</t>
  </si>
  <si>
    <t xml:space="preserve">2035</t>
  </si>
  <si>
    <t xml:space="preserve">INTROD A LA TEORIA DE NUMEROS</t>
  </si>
  <si>
    <t xml:space="preserve">CSCE2035</t>
  </si>
  <si>
    <t xml:space="preserve">2036</t>
  </si>
  <si>
    <t xml:space="preserve">EVALUACION MATEMATICA</t>
  </si>
  <si>
    <t xml:space="preserve">CSCE2036</t>
  </si>
  <si>
    <t xml:space="preserve">2037</t>
  </si>
  <si>
    <t xml:space="preserve">INSTRUMENTOS INVESTIGAC Y EVAL</t>
  </si>
  <si>
    <t xml:space="preserve">CSCE2037</t>
  </si>
  <si>
    <t xml:space="preserve">2038</t>
  </si>
  <si>
    <t xml:space="preserve">TOPOLOGIA ELEMENTAL</t>
  </si>
  <si>
    <t xml:space="preserve">CSCE2038</t>
  </si>
  <si>
    <t xml:space="preserve">2039</t>
  </si>
  <si>
    <t xml:space="preserve">METODOS NUMERICOS</t>
  </si>
  <si>
    <t xml:space="preserve">CSCE2039</t>
  </si>
  <si>
    <t xml:space="preserve">2040</t>
  </si>
  <si>
    <t xml:space="preserve">PLANIF ESTRATEG DE LA POLITICA</t>
  </si>
  <si>
    <t xml:space="preserve">CSCE2040</t>
  </si>
  <si>
    <t xml:space="preserve">SEMINARIO DE INVESTIGACION I</t>
  </si>
  <si>
    <t xml:space="preserve">CSCE2042</t>
  </si>
  <si>
    <t xml:space="preserve">2041</t>
  </si>
  <si>
    <t xml:space="preserve">DISENO OPER Y CONTROL PROCESO</t>
  </si>
  <si>
    <t xml:space="preserve">CSCE2041</t>
  </si>
  <si>
    <t xml:space="preserve">SEMINARIO DE INVESTIGACION II</t>
  </si>
  <si>
    <t xml:space="preserve">CSCE2043</t>
  </si>
  <si>
    <t xml:space="preserve">2090</t>
  </si>
  <si>
    <t xml:space="preserve">CSCE2090</t>
  </si>
  <si>
    <t xml:space="preserve">2091</t>
  </si>
  <si>
    <t xml:space="preserve">CSCE2091</t>
  </si>
  <si>
    <t xml:space="preserve">2092</t>
  </si>
  <si>
    <t xml:space="preserve">PRUEBA GRADO 1 EST.SOCIALES</t>
  </si>
  <si>
    <t xml:space="preserve">CSCE2092</t>
  </si>
  <si>
    <t xml:space="preserve">INVESTIGACION EDUCATIVA</t>
  </si>
  <si>
    <t xml:space="preserve">CSCE2028</t>
  </si>
  <si>
    <t xml:space="preserve">REALIDAD SOCIEDAD COSTARRICEN</t>
  </si>
  <si>
    <t xml:space="preserve">CSCE2030</t>
  </si>
  <si>
    <t xml:space="preserve">2033</t>
  </si>
  <si>
    <t xml:space="preserve">TENDENCIAS CONTEMPORANEAS EDUC</t>
  </si>
  <si>
    <t xml:space="preserve">CSCE2033</t>
  </si>
  <si>
    <t xml:space="preserve">COSTA RICA EDUCACION GLOBALIZ</t>
  </si>
  <si>
    <t xml:space="preserve">CSCE2025</t>
  </si>
  <si>
    <t xml:space="preserve">RASGOS SOCIOL Y FILOSOF DE LA</t>
  </si>
  <si>
    <t xml:space="preserve">CSCE2029</t>
  </si>
  <si>
    <t xml:space="preserve">INFLUENCIA TECNOLOGIAS EN EDUC</t>
  </si>
  <si>
    <t xml:space="preserve">CSCE2027</t>
  </si>
  <si>
    <t xml:space="preserve">DEBATES EN EDUCACION</t>
  </si>
  <si>
    <t xml:space="preserve">CSCE2026</t>
  </si>
  <si>
    <t xml:space="preserve">TALLER INVESTIGAC Y PRODUCC ES</t>
  </si>
  <si>
    <t xml:space="preserve">CSCE2032</t>
  </si>
  <si>
    <t xml:space="preserve">CSCE2031</t>
  </si>
  <si>
    <t xml:space="preserve">2044</t>
  </si>
  <si>
    <t xml:space="preserve">COMUNIC IDEOLOG Y PROGRESO TEC</t>
  </si>
  <si>
    <t xml:space="preserve">CSCE2044</t>
  </si>
  <si>
    <t xml:space="preserve">GRAMATICA COMO PROC DE PRODUC</t>
  </si>
  <si>
    <t xml:space="preserve">CSCE2045</t>
  </si>
  <si>
    <t xml:space="preserve">LITERATURA COMPARADA</t>
  </si>
  <si>
    <t xml:space="preserve">CSCE2046</t>
  </si>
  <si>
    <t xml:space="preserve">PROCESOS INVESTIG LINGUISTICA</t>
  </si>
  <si>
    <t xml:space="preserve">CSCE2047</t>
  </si>
  <si>
    <t xml:space="preserve">TECNOLOGIA EDUCATIVA</t>
  </si>
  <si>
    <t xml:space="preserve">CSCE2048</t>
  </si>
  <si>
    <t xml:space="preserve">MEDIAC PEDAG Y CONST CONOCIM</t>
  </si>
  <si>
    <t xml:space="preserve">CSCE2049</t>
  </si>
  <si>
    <t xml:space="preserve">TALLER EVAL CUAL Y CUANT DE AP</t>
  </si>
  <si>
    <t xml:space="preserve">CSCE2050</t>
  </si>
  <si>
    <t xml:space="preserve">SEMIN EVOLUCION POLIT PARA ENS</t>
  </si>
  <si>
    <t xml:space="preserve">CSCE2051</t>
  </si>
  <si>
    <t xml:space="preserve">CSCE2052</t>
  </si>
  <si>
    <t xml:space="preserve">CSCE2053</t>
  </si>
  <si>
    <t xml:space="preserve">CSCE2055</t>
  </si>
  <si>
    <t xml:space="preserve">BOTANICA GENERAL</t>
  </si>
  <si>
    <t xml:space="preserve">CSCE2056</t>
  </si>
  <si>
    <t xml:space="preserve">ZOOLOGIA GENERAL</t>
  </si>
  <si>
    <t xml:space="preserve">CSCE2057</t>
  </si>
  <si>
    <t xml:space="preserve">METODOS DE INVESTIGACION CIENT</t>
  </si>
  <si>
    <t xml:space="preserve">CSCE2058</t>
  </si>
  <si>
    <t xml:space="preserve">ENSENANZA INTEGRAL DE LA CIENC</t>
  </si>
  <si>
    <t xml:space="preserve">CSCE2059</t>
  </si>
  <si>
    <t xml:space="preserve">2060</t>
  </si>
  <si>
    <t xml:space="preserve">NUEVOS METODOS ENSEN APRENDIZ</t>
  </si>
  <si>
    <t xml:space="preserve">CSCE2060</t>
  </si>
  <si>
    <t xml:space="preserve">2061</t>
  </si>
  <si>
    <t xml:space="preserve">EVOLUCION BIOLOGICA</t>
  </si>
  <si>
    <t xml:space="preserve">CSCE2061</t>
  </si>
  <si>
    <t xml:space="preserve">EDUCACION AMBIENTAL</t>
  </si>
  <si>
    <t xml:space="preserve">CSCE2014</t>
  </si>
  <si>
    <t xml:space="preserve">COMUNICACION ORAL I</t>
  </si>
  <si>
    <t xml:space="preserve">CSID0006</t>
  </si>
  <si>
    <t xml:space="preserve">PRONUNCIACION ORAL I</t>
  </si>
  <si>
    <t xml:space="preserve">CSID0038</t>
  </si>
  <si>
    <t xml:space="preserve">SINTAXIS Y COMUNICAC ESCRITA I</t>
  </si>
  <si>
    <t xml:space="preserve">CSID0044</t>
  </si>
  <si>
    <t xml:space="preserve">COMUNICACION ORAL II</t>
  </si>
  <si>
    <t xml:space="preserve">CSID0007</t>
  </si>
  <si>
    <t xml:space="preserve">PRONUNCIACION ORAL II</t>
  </si>
  <si>
    <t xml:space="preserve">CSID0039</t>
  </si>
  <si>
    <t xml:space="preserve">SINTAXIS Y COMUNICAC ESCRIT II</t>
  </si>
  <si>
    <t xml:space="preserve">CSID0045</t>
  </si>
  <si>
    <t xml:space="preserve">TECNICAS DE LECTURA II</t>
  </si>
  <si>
    <t xml:space="preserve">CSID0051</t>
  </si>
  <si>
    <t xml:space="preserve">FUND HIST Y FILOSOF EDUC COST</t>
  </si>
  <si>
    <t xml:space="preserve">CSCE0005</t>
  </si>
  <si>
    <t xml:space="preserve">COMUNICAC ORAL Y PRONUNC III</t>
  </si>
  <si>
    <t xml:space="preserve">CSID0011</t>
  </si>
  <si>
    <t xml:space="preserve">SINTAXIS Y COMUNIC ESCRITA III</t>
  </si>
  <si>
    <t xml:space="preserve">CSID0046</t>
  </si>
  <si>
    <t xml:space="preserve">INTRODUCCION A LA LITERATURA</t>
  </si>
  <si>
    <t xml:space="preserve">CSID0023</t>
  </si>
  <si>
    <t xml:space="preserve">ADOLESCENCIA Y EDUCACION</t>
  </si>
  <si>
    <t xml:space="preserve">CSCE0001</t>
  </si>
  <si>
    <t xml:space="preserve">COMUNICACION ORAL Y PRONUNC IV</t>
  </si>
  <si>
    <t xml:space="preserve">CSID0012</t>
  </si>
  <si>
    <t xml:space="preserve">SINTAXIS Y COMUNIC ESCRITA IV</t>
  </si>
  <si>
    <t xml:space="preserve">CSID0047</t>
  </si>
  <si>
    <t xml:space="preserve">INTRODUCCION A LA NARRATIVA</t>
  </si>
  <si>
    <t xml:space="preserve">CSID0024</t>
  </si>
  <si>
    <t xml:space="preserve">PSICOLOGIA EDUCATIVA</t>
  </si>
  <si>
    <t xml:space="preserve">CSCE0055</t>
  </si>
  <si>
    <t xml:space="preserve">TECNIC DE LECTU Y COMUN ORAL V</t>
  </si>
  <si>
    <t xml:space="preserve">CSID0052</t>
  </si>
  <si>
    <t xml:space="preserve">INTRODUCCION AL DRAMA</t>
  </si>
  <si>
    <t xml:space="preserve">CSID0027</t>
  </si>
  <si>
    <t xml:space="preserve">DIDACTICA DEL INGLES</t>
  </si>
  <si>
    <t xml:space="preserve">CSID0016</t>
  </si>
  <si>
    <t xml:space="preserve">PRINCIPIOS DEL CURRICULUM</t>
  </si>
  <si>
    <t xml:space="preserve">CSCE0008</t>
  </si>
  <si>
    <t xml:space="preserve">HERRAMIENTAS COMPUTACIONALES</t>
  </si>
  <si>
    <t xml:space="preserve">INTI0058</t>
  </si>
  <si>
    <t xml:space="preserve">ELOCUCION Y COMPOSICION I</t>
  </si>
  <si>
    <t xml:space="preserve">CSID0017</t>
  </si>
  <si>
    <t xml:space="preserve">INTRODUCCION A LA POESIA</t>
  </si>
  <si>
    <t xml:space="preserve">CSID0026</t>
  </si>
  <si>
    <t xml:space="preserve">ELOCUCION Y COMPOSICION II</t>
  </si>
  <si>
    <t xml:space="preserve">CSID0018</t>
  </si>
  <si>
    <t xml:space="preserve">CSID0029</t>
  </si>
  <si>
    <t xml:space="preserve">METODOLOGIA ENSE  DEL INGLES</t>
  </si>
  <si>
    <t xml:space="preserve">CSID0030</t>
  </si>
  <si>
    <t xml:space="preserve">APLIC COMPUTAC ENSENANZA DEL I</t>
  </si>
  <si>
    <t xml:space="preserve">CSID0001</t>
  </si>
  <si>
    <t xml:space="preserve">CRITICA LITERARIA</t>
  </si>
  <si>
    <t xml:space="preserve">CSID0013</t>
  </si>
  <si>
    <t xml:space="preserve">TALLER MULTIM Y MATERIAL DIDAC</t>
  </si>
  <si>
    <t xml:space="preserve">CSID0049</t>
  </si>
  <si>
    <t xml:space="preserve">SEMINARIO Y PRACTICA DOCENTE</t>
  </si>
  <si>
    <t xml:space="preserve">CSID0041</t>
  </si>
  <si>
    <t xml:space="preserve">ENTORNO LEGAL EDUCAC COSTARRIC</t>
  </si>
  <si>
    <t xml:space="preserve">CSCE0121</t>
  </si>
  <si>
    <t xml:space="preserve">TECNICAS DE LECTURA I</t>
  </si>
  <si>
    <t xml:space="preserve">CSID0050</t>
  </si>
  <si>
    <t xml:space="preserve">INTRODUCCION A LA  LINGUISTICA</t>
  </si>
  <si>
    <t xml:space="preserve">CSID0022</t>
  </si>
  <si>
    <t xml:space="preserve">SINTAXIS I</t>
  </si>
  <si>
    <t xml:space="preserve">CSID0042</t>
  </si>
  <si>
    <t xml:space="preserve">MORFOLOGIA</t>
  </si>
  <si>
    <t xml:space="preserve">CSID0033</t>
  </si>
  <si>
    <t xml:space="preserve">PRODUC TEXTO ESCRITO ESPANOL</t>
  </si>
  <si>
    <t xml:space="preserve">CSCE0009</t>
  </si>
  <si>
    <t xml:space="preserve">COMUNICACION ORAL III</t>
  </si>
  <si>
    <t xml:space="preserve">CSID0008</t>
  </si>
  <si>
    <t xml:space="preserve">SINTAXIS II</t>
  </si>
  <si>
    <t xml:space="preserve">CSID0043</t>
  </si>
  <si>
    <t xml:space="preserve">FONETICA</t>
  </si>
  <si>
    <t xml:space="preserve">CSID0019</t>
  </si>
  <si>
    <t xml:space="preserve">ETICA Y PAPEL DOCENTE EN SOCIE</t>
  </si>
  <si>
    <t xml:space="preserve">CSCE0122</t>
  </si>
  <si>
    <t xml:space="preserve">COMUNICACION ORAL IV</t>
  </si>
  <si>
    <t xml:space="preserve">CSID0009</t>
  </si>
  <si>
    <t xml:space="preserve">COMPOSICION I</t>
  </si>
  <si>
    <t xml:space="preserve">CSID0003</t>
  </si>
  <si>
    <t xml:space="preserve">FONOLOGIA</t>
  </si>
  <si>
    <t xml:space="preserve">CSID0020</t>
  </si>
  <si>
    <t xml:space="preserve">APRECIACION LITERARIA</t>
  </si>
  <si>
    <t xml:space="preserve">CSID0054</t>
  </si>
  <si>
    <t xml:space="preserve">COMUNICACION ORAL V</t>
  </si>
  <si>
    <t xml:space="preserve">CSID0010</t>
  </si>
  <si>
    <t xml:space="preserve">COMPOSICION II</t>
  </si>
  <si>
    <t xml:space="preserve">CSID0004</t>
  </si>
  <si>
    <t xml:space="preserve">INTRODUCCION A LA PEDAGOGIA</t>
  </si>
  <si>
    <t xml:space="preserve">CSID0025</t>
  </si>
  <si>
    <t xml:space="preserve">LITERATURA PAISES HABLA INGLES</t>
  </si>
  <si>
    <t xml:space="preserve">CSID0028</t>
  </si>
  <si>
    <t xml:space="preserve">COMUNICACION ACADEMICA</t>
  </si>
  <si>
    <t xml:space="preserve">CSID0005</t>
  </si>
  <si>
    <t xml:space="preserve">DIDACTICA ENSENANZA DEL INGLES</t>
  </si>
  <si>
    <t xml:space="preserve">CSID0015</t>
  </si>
  <si>
    <t xml:space="preserve">CULTURA  PAISES  HABLA INGLESA</t>
  </si>
  <si>
    <t xml:space="preserve">CSID0014</t>
  </si>
  <si>
    <t xml:space="preserve">LEGISLACION EDUCATIVA</t>
  </si>
  <si>
    <t xml:space="preserve">CSCE0007</t>
  </si>
  <si>
    <t xml:space="preserve">METODOLOGIA I</t>
  </si>
  <si>
    <t xml:space="preserve">CSID0031</t>
  </si>
  <si>
    <t xml:space="preserve">TALLER ELABORA RECURSOS DIDACT</t>
  </si>
  <si>
    <t xml:space="preserve">CSID0048</t>
  </si>
  <si>
    <t xml:space="preserve">OPTATIVA 1</t>
  </si>
  <si>
    <t xml:space="preserve">CSID0034</t>
  </si>
  <si>
    <t xml:space="preserve">SEMANTICA</t>
  </si>
  <si>
    <t xml:space="preserve">CSID0040</t>
  </si>
  <si>
    <t xml:space="preserve">INGLES MUNDO CONTEMPORANEO</t>
  </si>
  <si>
    <t xml:space="preserve">CSID0021</t>
  </si>
  <si>
    <t xml:space="preserve">METODOLOGIA II</t>
  </si>
  <si>
    <t xml:space="preserve">CSID0032</t>
  </si>
  <si>
    <t xml:space="preserve">APLIC TEC EN LA ENSENA INGLES</t>
  </si>
  <si>
    <t xml:space="preserve">CSID0002</t>
  </si>
  <si>
    <t xml:space="preserve">CSID0037</t>
  </si>
  <si>
    <t xml:space="preserve">OPTATIVA 2</t>
  </si>
  <si>
    <t xml:space="preserve">CSID0035</t>
  </si>
  <si>
    <t xml:space="preserve">ATENC DIVER Y NECES EDUCAT ESP</t>
  </si>
  <si>
    <t xml:space="preserve">CSCE0120</t>
  </si>
  <si>
    <t xml:space="preserve">PLAN Y USO DE RECURSOS ENS ING</t>
  </si>
  <si>
    <t xml:space="preserve">CSID0036</t>
  </si>
  <si>
    <t xml:space="preserve">USO LITERATURA ENENSENANZA DEL</t>
  </si>
  <si>
    <t xml:space="preserve">CSID0053</t>
  </si>
  <si>
    <t xml:space="preserve">SOCIOLOGIA DE LA EDUCACION</t>
  </si>
  <si>
    <t xml:space="preserve">CSID2010</t>
  </si>
  <si>
    <t xml:space="preserve">CSID2022</t>
  </si>
  <si>
    <t xml:space="preserve">CSID2014</t>
  </si>
  <si>
    <t xml:space="preserve">LENGUA Y CULTURA</t>
  </si>
  <si>
    <t xml:space="preserve">CSID2015</t>
  </si>
  <si>
    <t xml:space="preserve">ENSEN INGLES COMO LENGUA EXTR</t>
  </si>
  <si>
    <t xml:space="preserve">CSID2016</t>
  </si>
  <si>
    <t xml:space="preserve">CSID2009</t>
  </si>
  <si>
    <t xml:space="preserve">PRINCIPIOS ADQUIS DEL LENGUAJE</t>
  </si>
  <si>
    <t xml:space="preserve">CSID2018</t>
  </si>
  <si>
    <t xml:space="preserve">INNOVACIONES EDUCATIVAS</t>
  </si>
  <si>
    <t xml:space="preserve">CSID2019</t>
  </si>
  <si>
    <t xml:space="preserve">CSID2020</t>
  </si>
  <si>
    <t xml:space="preserve">CSID2021</t>
  </si>
  <si>
    <t xml:space="preserve">CSID2012</t>
  </si>
  <si>
    <t xml:space="preserve">CSID2013</t>
  </si>
  <si>
    <t xml:space="preserve">PRINCIPIOS  ADQUIS  UNA LENGUA</t>
  </si>
  <si>
    <t xml:space="preserve">CSID2000</t>
  </si>
  <si>
    <t xml:space="preserve">INNOVACION PROY EDUCAT EN LA</t>
  </si>
  <si>
    <t xml:space="preserve">CSID2001</t>
  </si>
  <si>
    <t xml:space="preserve">METODOLOGIA DE LA INVESTIGACI</t>
  </si>
  <si>
    <t xml:space="preserve">CSID2002</t>
  </si>
  <si>
    <t xml:space="preserve">ENSEN DEL INGLES PROPOSIT ESPE</t>
  </si>
  <si>
    <t xml:space="preserve">CSID2003</t>
  </si>
  <si>
    <t xml:space="preserve">EVALUAC  APRENDIZAJE EN ENSEN</t>
  </si>
  <si>
    <t xml:space="preserve">CSID2004</t>
  </si>
  <si>
    <t xml:space="preserve">EVALUACION MATERIALES DIDACTIC</t>
  </si>
  <si>
    <t xml:space="preserve">CSID2005</t>
  </si>
  <si>
    <t xml:space="preserve">TALLER INVESTIGAC EN ENSENANZA</t>
  </si>
  <si>
    <t xml:space="preserve">CSID2006</t>
  </si>
  <si>
    <t xml:space="preserve">OPTATIVA</t>
  </si>
  <si>
    <t xml:space="preserve">CSID2007</t>
  </si>
  <si>
    <t xml:space="preserve">COMUNICACIÓN INTERCULTURAL</t>
  </si>
  <si>
    <t xml:space="preserve">CSID2008</t>
  </si>
  <si>
    <t xml:space="preserve">CSID2011</t>
  </si>
  <si>
    <t xml:space="preserve">AHCN0096</t>
  </si>
  <si>
    <t xml:space="preserve">COMUNICACION ORAL Y ESCRITA</t>
  </si>
  <si>
    <t xml:space="preserve">CSCE0108</t>
  </si>
  <si>
    <t xml:space="preserve">SIMULACION DE PROCESOS</t>
  </si>
  <si>
    <t xml:space="preserve">INIG0057</t>
  </si>
  <si>
    <t xml:space="preserve">AHCN0076</t>
  </si>
  <si>
    <t xml:space="preserve">PROCESOS INDUSTRIALES</t>
  </si>
  <si>
    <t xml:space="preserve">INIG0044</t>
  </si>
  <si>
    <t xml:space="preserve">COMPUTACION</t>
  </si>
  <si>
    <t xml:space="preserve">INTI0100</t>
  </si>
  <si>
    <t xml:space="preserve">PROBABILIDAD Y ESTADISTICA I</t>
  </si>
  <si>
    <t xml:space="preserve">CNCX0019</t>
  </si>
  <si>
    <t xml:space="preserve">DESARROLLO EMPRESARIAL</t>
  </si>
  <si>
    <t xml:space="preserve">AHCN0077</t>
  </si>
  <si>
    <t xml:space="preserve">INIG0045</t>
  </si>
  <si>
    <t xml:space="preserve">CONTABILIDAD Y COSTOS</t>
  </si>
  <si>
    <t xml:space="preserve">AHCN0083</t>
  </si>
  <si>
    <t xml:space="preserve">PROBABILIDAD Y ESTADISTICA II</t>
  </si>
  <si>
    <t xml:space="preserve">CNCX0008</t>
  </si>
  <si>
    <t xml:space="preserve">INGENIERIA DE METODOS I</t>
  </si>
  <si>
    <t xml:space="preserve">INIG0046</t>
  </si>
  <si>
    <t xml:space="preserve">INSERC LABORAL Y CALID PROFES</t>
  </si>
  <si>
    <t xml:space="preserve">AHCN0084</t>
  </si>
  <si>
    <t xml:space="preserve">INTELIGENCIA EMOCIONAL</t>
  </si>
  <si>
    <t xml:space="preserve">HSHM0033</t>
  </si>
  <si>
    <t xml:space="preserve">INGENIERIA DE METODOS II</t>
  </si>
  <si>
    <t xml:space="preserve">INIG0048</t>
  </si>
  <si>
    <t xml:space="preserve">0078</t>
  </si>
  <si>
    <t xml:space="preserve">COSTOS</t>
  </si>
  <si>
    <t xml:space="preserve">AHCN0078</t>
  </si>
  <si>
    <t xml:space="preserve">ADMI DE EMPRESAS Y SERVICIOS</t>
  </si>
  <si>
    <t xml:space="preserve">AHCN0079</t>
  </si>
  <si>
    <t xml:space="preserve">MEJORAMIENTO DE PROCESOS I</t>
  </si>
  <si>
    <t xml:space="preserve">INIG0049</t>
  </si>
  <si>
    <t xml:space="preserve">RELACIONES INDIV DEL TRABAJO</t>
  </si>
  <si>
    <t xml:space="preserve">AHCN0080</t>
  </si>
  <si>
    <t xml:space="preserve">E-BUSINESS</t>
  </si>
  <si>
    <t xml:space="preserve">AHCN0081</t>
  </si>
  <si>
    <t xml:space="preserve">MEJORAMIENTO DE PROCESOS II</t>
  </si>
  <si>
    <t xml:space="preserve">INIG0050</t>
  </si>
  <si>
    <t xml:space="preserve">PLANEA Y CONTROL DE LA PRODUC</t>
  </si>
  <si>
    <t xml:space="preserve">INIG0051</t>
  </si>
  <si>
    <t xml:space="preserve">COACHING ESTRATEGICO</t>
  </si>
  <si>
    <t xml:space="preserve">AHCN0082</t>
  </si>
  <si>
    <t xml:space="preserve">CADENA DE SUMINISTROS</t>
  </si>
  <si>
    <t xml:space="preserve">INIG0052</t>
  </si>
  <si>
    <t xml:space="preserve">ANALISIS DE LA PRODUCTIVIDAD</t>
  </si>
  <si>
    <t xml:space="preserve">INIG0053</t>
  </si>
  <si>
    <t xml:space="preserve">GESTION DE LA CALIDAD</t>
  </si>
  <si>
    <t xml:space="preserve">INIG0031</t>
  </si>
  <si>
    <t xml:space="preserve">FORMUL Y EVAL DE PROYECTOS</t>
  </si>
  <si>
    <t xml:space="preserve">INIG0055</t>
  </si>
  <si>
    <t xml:space="preserve">OPTATIVA I</t>
  </si>
  <si>
    <t xml:space="preserve">INIG0056</t>
  </si>
  <si>
    <t xml:space="preserve">CALCULO DIFERENCIAL E INTEGRAL</t>
  </si>
  <si>
    <t xml:space="preserve">CNCX0013</t>
  </si>
  <si>
    <t xml:space="preserve">METOD DE LA INVEST CIENT</t>
  </si>
  <si>
    <t xml:space="preserve">AHCN0085</t>
  </si>
  <si>
    <t xml:space="preserve">DIBUJO TECNICO</t>
  </si>
  <si>
    <t xml:space="preserve">CCAV0022</t>
  </si>
  <si>
    <t xml:space="preserve">CONTABILIDAD GENERAL</t>
  </si>
  <si>
    <t xml:space="preserve">AHCN0073</t>
  </si>
  <si>
    <t xml:space="preserve">GESTION DE MANTENIMIENTO</t>
  </si>
  <si>
    <t xml:space="preserve">INIG0029</t>
  </si>
  <si>
    <t xml:space="preserve">CONTABILIDAD DE COSTOS</t>
  </si>
  <si>
    <t xml:space="preserve">AHCN0086</t>
  </si>
  <si>
    <t xml:space="preserve">INVESTIGACION DE OPERACIONES I</t>
  </si>
  <si>
    <t xml:space="preserve">INIG0030</t>
  </si>
  <si>
    <t xml:space="preserve">INTI0051</t>
  </si>
  <si>
    <t xml:space="preserve">INGENIERIA ECONOMICA</t>
  </si>
  <si>
    <t xml:space="preserve">INIG0032</t>
  </si>
  <si>
    <t xml:space="preserve">DISENO Y PLANEAMIENT DE INSTAL</t>
  </si>
  <si>
    <t xml:space="preserve">INIG0034</t>
  </si>
  <si>
    <t xml:space="preserve">CONTROL ESTADIST DE LA CALIDAD</t>
  </si>
  <si>
    <t xml:space="preserve">INIG0035</t>
  </si>
  <si>
    <t xml:space="preserve">GESTION AMBIENTAL</t>
  </si>
  <si>
    <t xml:space="preserve">INIG0036</t>
  </si>
  <si>
    <t xml:space="preserve">INGENIERIA DE MATERIALES</t>
  </si>
  <si>
    <t xml:space="preserve">INIG0037</t>
  </si>
  <si>
    <t xml:space="preserve">INVEST DE OPERACIONES III</t>
  </si>
  <si>
    <t xml:space="preserve">INIG0038</t>
  </si>
  <si>
    <t xml:space="preserve">SEGUR E HIGIENE OCUPACIONAL</t>
  </si>
  <si>
    <t xml:space="preserve">INIG0039</t>
  </si>
  <si>
    <t xml:space="preserve">PROCESOS DE MANUFACTURA</t>
  </si>
  <si>
    <t xml:space="preserve">INIG0040</t>
  </si>
  <si>
    <t xml:space="preserve">METROLOGIA Y NORMALIZACION</t>
  </si>
  <si>
    <t xml:space="preserve">INIG0041</t>
  </si>
  <si>
    <t xml:space="preserve">PROGRAM Y CONTROL DE LA PRODUC</t>
  </si>
  <si>
    <t xml:space="preserve">INIG0042</t>
  </si>
  <si>
    <t xml:space="preserve">0074</t>
  </si>
  <si>
    <t xml:space="preserve">FINANZAS</t>
  </si>
  <si>
    <t xml:space="preserve">AHCN0074</t>
  </si>
  <si>
    <t xml:space="preserve">DIAGNOSTICO INDUSTRIAL</t>
  </si>
  <si>
    <t xml:space="preserve">INIG0043</t>
  </si>
  <si>
    <t xml:space="preserve">FISICA I (TEORIA Y LAB)</t>
  </si>
  <si>
    <t xml:space="preserve">CNCX0031</t>
  </si>
  <si>
    <t xml:space="preserve">QUIMICA I (TEORIA Y LAB)</t>
  </si>
  <si>
    <t xml:space="preserve">CNCX0032</t>
  </si>
  <si>
    <t xml:space="preserve">CALCULO DIFERENC E INTEGRAL II</t>
  </si>
  <si>
    <t xml:space="preserve">CNCX0014</t>
  </si>
  <si>
    <t xml:space="preserve">FISICA II (TEORIA Y LAB)</t>
  </si>
  <si>
    <t xml:space="preserve">CNCX0033</t>
  </si>
  <si>
    <t xml:space="preserve">QUIMICA II (TEORIA Y LAB)</t>
  </si>
  <si>
    <t xml:space="preserve">CNCX0034</t>
  </si>
  <si>
    <t xml:space="preserve">FISICA III (TEORIA Y LAB)</t>
  </si>
  <si>
    <t xml:space="preserve">CNCX0038</t>
  </si>
  <si>
    <t xml:space="preserve">ESTUD DEL TRABAJO (TEOR Y LAB)</t>
  </si>
  <si>
    <t xml:space="preserve">INIG0028</t>
  </si>
  <si>
    <t xml:space="preserve">INVESTIG DE OPERACIONES II</t>
  </si>
  <si>
    <t xml:space="preserve">INIG0033</t>
  </si>
  <si>
    <t xml:space="preserve">INIG0061</t>
  </si>
  <si>
    <t xml:space="preserve">INIG0062</t>
  </si>
  <si>
    <t xml:space="preserve">INIG0063</t>
  </si>
  <si>
    <t xml:space="preserve">PRE CALCULO</t>
  </si>
  <si>
    <t xml:space="preserve">CNCX0010</t>
  </si>
  <si>
    <t xml:space="preserve">QUIMICA GENERAL I</t>
  </si>
  <si>
    <t xml:space="preserve">CNCX0023</t>
  </si>
  <si>
    <t xml:space="preserve">LABORATORIO QUIMICA GENERAL I</t>
  </si>
  <si>
    <t xml:space="preserve">CNCX0024</t>
  </si>
  <si>
    <t xml:space="preserve">INTRO A LA ING INDUSTRIAL</t>
  </si>
  <si>
    <t xml:space="preserve">INIG0001</t>
  </si>
  <si>
    <t xml:space="preserve">CALCULO I</t>
  </si>
  <si>
    <t xml:space="preserve">CNCX0005</t>
  </si>
  <si>
    <t xml:space="preserve">DIBUJO ASISTIDO POR COMPUTADOR</t>
  </si>
  <si>
    <t xml:space="preserve">INIG0002</t>
  </si>
  <si>
    <t xml:space="preserve">CNCX0020</t>
  </si>
  <si>
    <t xml:space="preserve">CONTABILIDAD FINANCIERA</t>
  </si>
  <si>
    <t xml:space="preserve">AHCN0007</t>
  </si>
  <si>
    <t xml:space="preserve">CALCULO II</t>
  </si>
  <si>
    <t xml:space="preserve">CNCX0006</t>
  </si>
  <si>
    <t xml:space="preserve">CNCX0007</t>
  </si>
  <si>
    <t xml:space="preserve">FISICA GENERAL I</t>
  </si>
  <si>
    <t xml:space="preserve">CNCX0025</t>
  </si>
  <si>
    <t xml:space="preserve">LABORATORIO FISICA GENERAL I</t>
  </si>
  <si>
    <t xml:space="preserve">CNCX0026</t>
  </si>
  <si>
    <t xml:space="preserve">CNCX0021</t>
  </si>
  <si>
    <t xml:space="preserve">ESTUDIO DEL TRABAJO</t>
  </si>
  <si>
    <t xml:space="preserve">INIG0003</t>
  </si>
  <si>
    <t xml:space="preserve">FISICA GENERAL II</t>
  </si>
  <si>
    <t xml:space="preserve">CNCX0027</t>
  </si>
  <si>
    <t xml:space="preserve">LABORATORIO FISICA GENERAL II</t>
  </si>
  <si>
    <t xml:space="preserve">CNCX0028</t>
  </si>
  <si>
    <t xml:space="preserve">CONTAB DE COSTOS PARA INGEN</t>
  </si>
  <si>
    <t xml:space="preserve">INIG0004</t>
  </si>
  <si>
    <t xml:space="preserve">PROGRAMACION</t>
  </si>
  <si>
    <t xml:space="preserve">INTI0048</t>
  </si>
  <si>
    <t xml:space="preserve">GESTION DE CALIDAD I</t>
  </si>
  <si>
    <t xml:space="preserve">INIG0005</t>
  </si>
  <si>
    <t xml:space="preserve">FISICA GENERAL III</t>
  </si>
  <si>
    <t xml:space="preserve">CNCX0029</t>
  </si>
  <si>
    <t xml:space="preserve">LABORATORIO FISICA GENERAL III</t>
  </si>
  <si>
    <t xml:space="preserve">CNCX0030</t>
  </si>
  <si>
    <t xml:space="preserve">INIG0006</t>
  </si>
  <si>
    <t xml:space="preserve">PROG PARA EL ANALISIS DE DATOS</t>
  </si>
  <si>
    <t xml:space="preserve">INTI0049</t>
  </si>
  <si>
    <t xml:space="preserve">ESTATICA</t>
  </si>
  <si>
    <t xml:space="preserve">INIG0007</t>
  </si>
  <si>
    <t xml:space="preserve">ELECTIVA I</t>
  </si>
  <si>
    <t xml:space="preserve">INIG0008</t>
  </si>
  <si>
    <t xml:space="preserve">INIG0009</t>
  </si>
  <si>
    <t xml:space="preserve">INIG0010</t>
  </si>
  <si>
    <t xml:space="preserve">INGENIERIA DE SERVICIOS</t>
  </si>
  <si>
    <t xml:space="preserve">INIG0011</t>
  </si>
  <si>
    <t xml:space="preserve">DISENO ALMAC CENTR DE DISTRIB</t>
  </si>
  <si>
    <t xml:space="preserve">INIG0012</t>
  </si>
  <si>
    <t xml:space="preserve">GEST DE SALUD Y SEGUR OCUPAC</t>
  </si>
  <si>
    <t xml:space="preserve">INIG0013</t>
  </si>
  <si>
    <t xml:space="preserve">DISENO Y PLANT DE INSTALAC</t>
  </si>
  <si>
    <t xml:space="preserve">INIG0014</t>
  </si>
  <si>
    <t xml:space="preserve">INIG0015</t>
  </si>
  <si>
    <t xml:space="preserve">ELECTIVA II</t>
  </si>
  <si>
    <t xml:space="preserve">INIG0016</t>
  </si>
  <si>
    <t xml:space="preserve">GESTION DEL MANTENIMIENTO</t>
  </si>
  <si>
    <t xml:space="preserve">INIG0017</t>
  </si>
  <si>
    <t xml:space="preserve">GESTION DE TALENTO HUMANO</t>
  </si>
  <si>
    <t xml:space="preserve">INIG0018</t>
  </si>
  <si>
    <t xml:space="preserve">INTROD A LA INTELIG DE NEGOC</t>
  </si>
  <si>
    <t xml:space="preserve">INIG0019</t>
  </si>
  <si>
    <t xml:space="preserve">SISTEMA DE INVENTARIOS</t>
  </si>
  <si>
    <t xml:space="preserve">INIG0020</t>
  </si>
  <si>
    <t xml:space="preserve">SISTEMAS DE TRANSPORTE</t>
  </si>
  <si>
    <t xml:space="preserve">INIG0021</t>
  </si>
  <si>
    <t xml:space="preserve">GESTION DE CALIDAD II</t>
  </si>
  <si>
    <t xml:space="preserve">INIG0022</t>
  </si>
  <si>
    <t xml:space="preserve">INIG0023</t>
  </si>
  <si>
    <t xml:space="preserve">CIENCIAS DE DATOS</t>
  </si>
  <si>
    <t xml:space="preserve">INTI0050</t>
  </si>
  <si>
    <t xml:space="preserve">PROGR Y CONTROL DE LA PRODUC</t>
  </si>
  <si>
    <t xml:space="preserve">INIG0024</t>
  </si>
  <si>
    <t xml:space="preserve">ING DE PROCESOS DE NEGOCIO</t>
  </si>
  <si>
    <t xml:space="preserve">INIG0054</t>
  </si>
  <si>
    <t xml:space="preserve">ETICA PROFESIONAL PARA ING</t>
  </si>
  <si>
    <t xml:space="preserve">INIG0026</t>
  </si>
  <si>
    <t xml:space="preserve">ADMINISTRACION ESTRATEGICA</t>
  </si>
  <si>
    <t xml:space="preserve">AHCN0106</t>
  </si>
  <si>
    <t xml:space="preserve">SISTEM MODERNOS DE MANUFACTURA</t>
  </si>
  <si>
    <t xml:space="preserve">INIG0027</t>
  </si>
  <si>
    <t xml:space="preserve">PLANEACION AVANZADA DE CALIDAD</t>
  </si>
  <si>
    <t xml:space="preserve">INIG2008</t>
  </si>
  <si>
    <t xml:space="preserve">CCCO2010</t>
  </si>
  <si>
    <t xml:space="preserve">AHCN2036</t>
  </si>
  <si>
    <t xml:space="preserve">GENERACION DE PYMES</t>
  </si>
  <si>
    <t xml:space="preserve">AHCN2037</t>
  </si>
  <si>
    <t xml:space="preserve">ADMINISTRACION DE MATERIALES</t>
  </si>
  <si>
    <t xml:space="preserve">INIG2009</t>
  </si>
  <si>
    <t xml:space="preserve">OPTATIVA II</t>
  </si>
  <si>
    <t xml:space="preserve">INIG2010</t>
  </si>
  <si>
    <t xml:space="preserve">METODOLOGIA DE LA INVESTIG</t>
  </si>
  <si>
    <t xml:space="preserve">AHCN2038</t>
  </si>
  <si>
    <t xml:space="preserve">AHCN2039</t>
  </si>
  <si>
    <t xml:space="preserve">DISENO DE SISTEMAS DE PRODUC</t>
  </si>
  <si>
    <t xml:space="preserve">INIG2011</t>
  </si>
  <si>
    <t xml:space="preserve">SOFTWARE APLICADO A PROCESOS</t>
  </si>
  <si>
    <t xml:space="preserve">INIG2012</t>
  </si>
  <si>
    <t xml:space="preserve">JUEGO DE NEGOCIOS</t>
  </si>
  <si>
    <t xml:space="preserve">AHCN2040</t>
  </si>
  <si>
    <t xml:space="preserve">AHCN2041</t>
  </si>
  <si>
    <t xml:space="preserve">INIG2013</t>
  </si>
  <si>
    <t xml:space="preserve">INIG2014</t>
  </si>
  <si>
    <t xml:space="preserve">INIG2015</t>
  </si>
  <si>
    <t xml:space="preserve">PLANIF Y CONTROL ESTRATEGICO</t>
  </si>
  <si>
    <t xml:space="preserve">INIG2000</t>
  </si>
  <si>
    <t xml:space="preserve">1009</t>
  </si>
  <si>
    <t xml:space="preserve">FORMUL Y EVALUA DE PROYECTOS</t>
  </si>
  <si>
    <t xml:space="preserve">AHCN1009</t>
  </si>
  <si>
    <t xml:space="preserve">PRODUCTIVIDAD</t>
  </si>
  <si>
    <t xml:space="preserve">INIG2001</t>
  </si>
  <si>
    <t xml:space="preserve">DISENO DE EXPERIMENTOS</t>
  </si>
  <si>
    <t xml:space="preserve">INIG2002</t>
  </si>
  <si>
    <t xml:space="preserve">MICROECONOMIA I</t>
  </si>
  <si>
    <t xml:space="preserve">INIG2003</t>
  </si>
  <si>
    <t xml:space="preserve">PSICO Y COMPORTAMIENTO ORGANIZ</t>
  </si>
  <si>
    <t xml:space="preserve">INIG2004</t>
  </si>
  <si>
    <t xml:space="preserve">SIMULACION INDUST (TEO Y LAB.)</t>
  </si>
  <si>
    <t xml:space="preserve">INIG2005</t>
  </si>
  <si>
    <t xml:space="preserve">LOGISTICA</t>
  </si>
  <si>
    <t xml:space="preserve">INIG2006</t>
  </si>
  <si>
    <t xml:space="preserve">INIG2007</t>
  </si>
  <si>
    <t xml:space="preserve">MATEMATICA DISCRETA</t>
  </si>
  <si>
    <t xml:space="preserve">INTI0001</t>
  </si>
  <si>
    <t xml:space="preserve">INTRODUC A LOS SIST DE INFORM</t>
  </si>
  <si>
    <t xml:space="preserve">INTI0002</t>
  </si>
  <si>
    <t xml:space="preserve">INTI0003</t>
  </si>
  <si>
    <t xml:space="preserve">INTI0004</t>
  </si>
  <si>
    <t xml:space="preserve">ESTRUCT DE DATOS Y ALGORITMOS</t>
  </si>
  <si>
    <t xml:space="preserve">INTI0005</t>
  </si>
  <si>
    <t xml:space="preserve">INTI0006</t>
  </si>
  <si>
    <t xml:space="preserve">BASE DE DATOS I</t>
  </si>
  <si>
    <t xml:space="preserve">INTI0007</t>
  </si>
  <si>
    <t xml:space="preserve">ARQUITECTURA DE COMPUTADORAS</t>
  </si>
  <si>
    <t xml:space="preserve">INTI0008</t>
  </si>
  <si>
    <t xml:space="preserve">HABIL  LA COMUNI ORAL Y ESCRIT</t>
  </si>
  <si>
    <t xml:space="preserve">INTI0009</t>
  </si>
  <si>
    <t xml:space="preserve">PROGRAMACION IV</t>
  </si>
  <si>
    <t xml:space="preserve">INTI0010</t>
  </si>
  <si>
    <t xml:space="preserve">BASES DE DATOS II</t>
  </si>
  <si>
    <t xml:space="preserve">INTI0011</t>
  </si>
  <si>
    <t xml:space="preserve">INGEN DE REQUERIM Y CALIDAD</t>
  </si>
  <si>
    <t xml:space="preserve">INTI0012</t>
  </si>
  <si>
    <t xml:space="preserve">PROGRAMACION AVANZADA</t>
  </si>
  <si>
    <t xml:space="preserve">INTI0013</t>
  </si>
  <si>
    <t xml:space="preserve">METOD DE DESA DE SOFTWARE I</t>
  </si>
  <si>
    <t xml:space="preserve">INTI0014</t>
  </si>
  <si>
    <t xml:space="preserve">SISTEMAS OPERATIVOS</t>
  </si>
  <si>
    <t xml:space="preserve">INTI0015</t>
  </si>
  <si>
    <t xml:space="preserve">INTI0016</t>
  </si>
  <si>
    <t xml:space="preserve">DESA DE APLIC DE ULTIMA GEN</t>
  </si>
  <si>
    <t xml:space="preserve">INTI0017</t>
  </si>
  <si>
    <t xml:space="preserve">METOD DE DESA DE SOFTWARE II</t>
  </si>
  <si>
    <t xml:space="preserve">INTI0018</t>
  </si>
  <si>
    <t xml:space="preserve">BUENAS PRACT DE LA INDUSTRIA</t>
  </si>
  <si>
    <t xml:space="preserve">INTI0019</t>
  </si>
  <si>
    <t xml:space="preserve">ADM DE INFRAESTR TECNO</t>
  </si>
  <si>
    <t xml:space="preserve">INTI0020</t>
  </si>
  <si>
    <t xml:space="preserve">CIBERSEGURIDAD</t>
  </si>
  <si>
    <t xml:space="preserve">INTI0057</t>
  </si>
  <si>
    <t xml:space="preserve">CIENCIA DE DATOS</t>
  </si>
  <si>
    <t xml:space="preserve">INTI0022</t>
  </si>
  <si>
    <t xml:space="preserve">INTI0023</t>
  </si>
  <si>
    <t xml:space="preserve">ADM Y CONTR DE PROYEC DE SIST</t>
  </si>
  <si>
    <t xml:space="preserve">INTI0024</t>
  </si>
  <si>
    <t xml:space="preserve">APRENDIZAJE AUTOMATICO</t>
  </si>
  <si>
    <t xml:space="preserve">INTI0025</t>
  </si>
  <si>
    <t xml:space="preserve">COMPUTACION EN LA NUBE</t>
  </si>
  <si>
    <t xml:space="preserve">INTI0026</t>
  </si>
  <si>
    <t xml:space="preserve">ETICA PROFESIONAL PARA TI</t>
  </si>
  <si>
    <t xml:space="preserve">INTI0027</t>
  </si>
  <si>
    <t xml:space="preserve">GEST Y CONTROL INTERNO DE TI</t>
  </si>
  <si>
    <t xml:space="preserve">INTI0028</t>
  </si>
  <si>
    <t xml:space="preserve">FUNDAM DE ARQUITECT DE SOLUC</t>
  </si>
  <si>
    <t xml:space="preserve">INTI0029</t>
  </si>
  <si>
    <t xml:space="preserve">GERENCIA DE PROYECTOS</t>
  </si>
  <si>
    <t xml:space="preserve">INTI0061</t>
  </si>
  <si>
    <t xml:space="preserve">INTI0031</t>
  </si>
  <si>
    <t xml:space="preserve">INTI0032</t>
  </si>
  <si>
    <t xml:space="preserve">INTI0033</t>
  </si>
  <si>
    <t xml:space="preserve">ORGANIZ ARCHI Y ESTRUCT DE DAT</t>
  </si>
  <si>
    <t xml:space="preserve">INTI0034</t>
  </si>
  <si>
    <t xml:space="preserve">ORGANIZACION DE COMPUTADORAS</t>
  </si>
  <si>
    <t xml:space="preserve">INTI0035</t>
  </si>
  <si>
    <t xml:space="preserve">INTI0036</t>
  </si>
  <si>
    <t xml:space="preserve">ORGANIZACION DE ESTRUCTURAS</t>
  </si>
  <si>
    <t xml:space="preserve">INTI0037</t>
  </si>
  <si>
    <t xml:space="preserve">BASES DE DATOS</t>
  </si>
  <si>
    <t xml:space="preserve">INTI0038</t>
  </si>
  <si>
    <t xml:space="preserve">INTI0055</t>
  </si>
  <si>
    <t xml:space="preserve">INTI0039</t>
  </si>
  <si>
    <t xml:space="preserve">DISENO Y DESAR DE APLIC COMERC</t>
  </si>
  <si>
    <t xml:space="preserve">INTI0040</t>
  </si>
  <si>
    <t xml:space="preserve">MODELOS DE PROGR DE SISTEMAS</t>
  </si>
  <si>
    <t xml:space="preserve">INTI0041</t>
  </si>
  <si>
    <t xml:space="preserve">INTI0042</t>
  </si>
  <si>
    <t xml:space="preserve">DISENO Y DESARROLLO DE SIST</t>
  </si>
  <si>
    <t xml:space="preserve">INTI0043</t>
  </si>
  <si>
    <t xml:space="preserve">INTI0056</t>
  </si>
  <si>
    <t xml:space="preserve">ADM Y CONTROL DE PROY SIST</t>
  </si>
  <si>
    <t xml:space="preserve">INTI0044</t>
  </si>
  <si>
    <t xml:space="preserve">METODOS INVEST CIENTIFICA</t>
  </si>
  <si>
    <t xml:space="preserve">INTI0045</t>
  </si>
  <si>
    <t xml:space="preserve">ADMINIST DE CENTROS DE COMPUTO</t>
  </si>
  <si>
    <t xml:space="preserve">INTI0046</t>
  </si>
  <si>
    <t xml:space="preserve">TEORIA GENERAL DEL DERECHO</t>
  </si>
  <si>
    <t xml:space="preserve">CJJU0001</t>
  </si>
  <si>
    <t xml:space="preserve">CJJU0002</t>
  </si>
  <si>
    <t xml:space="preserve">CJJU0003</t>
  </si>
  <si>
    <t xml:space="preserve">INVEST EN CIENCIAS JURIDICAS</t>
  </si>
  <si>
    <t xml:space="preserve">CJJU0004</t>
  </si>
  <si>
    <t xml:space="preserve">CJJU0005</t>
  </si>
  <si>
    <t xml:space="preserve">FILOSOFIA DEL DERECHO</t>
  </si>
  <si>
    <t xml:space="preserve">CJJU0006</t>
  </si>
  <si>
    <t xml:space="preserve">DERECHO PUBLICO</t>
  </si>
  <si>
    <t xml:space="preserve">CJJU0007</t>
  </si>
  <si>
    <t xml:space="preserve">CJJU0008</t>
  </si>
  <si>
    <t xml:space="preserve">CJJU0009</t>
  </si>
  <si>
    <t xml:space="preserve">CJJU0010</t>
  </si>
  <si>
    <t xml:space="preserve">CJJU0011</t>
  </si>
  <si>
    <t xml:space="preserve">DERECHO OBLIGACIONES I</t>
  </si>
  <si>
    <t xml:space="preserve">CJJU0012</t>
  </si>
  <si>
    <t xml:space="preserve">CJJU0013</t>
  </si>
  <si>
    <t xml:space="preserve">CJJU0014</t>
  </si>
  <si>
    <t xml:space="preserve">CJJU0015</t>
  </si>
  <si>
    <t xml:space="preserve">DERECHO OBLIGACIONES II</t>
  </si>
  <si>
    <t xml:space="preserve">CJJU0016</t>
  </si>
  <si>
    <t xml:space="preserve">CJJU0017</t>
  </si>
  <si>
    <t xml:space="preserve">CJJU0018</t>
  </si>
  <si>
    <t xml:space="preserve">CJJU0019</t>
  </si>
  <si>
    <t xml:space="preserve">CJJU0020</t>
  </si>
  <si>
    <t xml:space="preserve">CJJU0021</t>
  </si>
  <si>
    <t xml:space="preserve">CJJU0022</t>
  </si>
  <si>
    <t xml:space="preserve">TEORIA GEN DE LOS CONTRATOS I</t>
  </si>
  <si>
    <t xml:space="preserve">CJJU0023</t>
  </si>
  <si>
    <t xml:space="preserve">CJJU0024</t>
  </si>
  <si>
    <t xml:space="preserve">CJJU0025</t>
  </si>
  <si>
    <t xml:space="preserve">TEORIA GEN DE LOS CONTRATOS II</t>
  </si>
  <si>
    <t xml:space="preserve">CJJU0026</t>
  </si>
  <si>
    <t xml:space="preserve">TEORIA GENERAL DEL PROCESO I</t>
  </si>
  <si>
    <t xml:space="preserve">CJJU0027</t>
  </si>
  <si>
    <t xml:space="preserve">CJJU0028</t>
  </si>
  <si>
    <t xml:space="preserve">DERECHO TRIBUTARIO Y FINANC</t>
  </si>
  <si>
    <t xml:space="preserve">CJJU0029</t>
  </si>
  <si>
    <t xml:space="preserve">DERECHO CONTRATACION PRIVADA I</t>
  </si>
  <si>
    <t xml:space="preserve">CJJU0030</t>
  </si>
  <si>
    <t xml:space="preserve">DERECHO PROCESO CIVIL I</t>
  </si>
  <si>
    <t xml:space="preserve">CJJU0031</t>
  </si>
  <si>
    <t xml:space="preserve">CJJU0032</t>
  </si>
  <si>
    <t xml:space="preserve">DERECHO AGRARIO</t>
  </si>
  <si>
    <t xml:space="preserve">CJJU2000</t>
  </si>
  <si>
    <t xml:space="preserve">DERECHO CONTRAT PRIVADA II</t>
  </si>
  <si>
    <t xml:space="preserve">CJJU2001</t>
  </si>
  <si>
    <t xml:space="preserve">CJJU2002</t>
  </si>
  <si>
    <t xml:space="preserve">CJJU2003</t>
  </si>
  <si>
    <t xml:space="preserve">JUICIOS UNIVERSALES I</t>
  </si>
  <si>
    <t xml:space="preserve">CJJU2004</t>
  </si>
  <si>
    <t xml:space="preserve">CJJU2005</t>
  </si>
  <si>
    <t xml:space="preserve">DERECHO INTERNAC PUBLICO I</t>
  </si>
  <si>
    <t xml:space="preserve">CJJU2006</t>
  </si>
  <si>
    <t xml:space="preserve">CJJU2007</t>
  </si>
  <si>
    <t xml:space="preserve">JUICIOS UNIVERSALES II</t>
  </si>
  <si>
    <t xml:space="preserve">CJJU2008</t>
  </si>
  <si>
    <t xml:space="preserve">CJJU2009</t>
  </si>
  <si>
    <t xml:space="preserve">DERECHO PROCESAL ADMIN III</t>
  </si>
  <si>
    <t xml:space="preserve">CJJU2010</t>
  </si>
  <si>
    <t xml:space="preserve">CJJU2011</t>
  </si>
  <si>
    <t xml:space="preserve">CJJU2012</t>
  </si>
  <si>
    <t xml:space="preserve">CJJU2013</t>
  </si>
  <si>
    <t xml:space="preserve">CJJU2014</t>
  </si>
  <si>
    <t xml:space="preserve">CJJU2015</t>
  </si>
  <si>
    <t xml:space="preserve">ECCL</t>
  </si>
  <si>
    <t xml:space="preserve">7000</t>
  </si>
  <si>
    <t xml:space="preserve">MICROSOFT EXCEL ACADEMIC</t>
  </si>
  <si>
    <t xml:space="preserve">ECCL7000</t>
  </si>
  <si>
    <t xml:space="preserve">7001</t>
  </si>
  <si>
    <t xml:space="preserve">MICROSOFT EXCEL BUSINESS</t>
  </si>
  <si>
    <t xml:space="preserve">ECCL7001</t>
  </si>
  <si>
    <t xml:space="preserve">7002</t>
  </si>
  <si>
    <t xml:space="preserve">CONTRATACION ADMINISTRATIVA</t>
  </si>
  <si>
    <t xml:space="preserve">ECCL7002</t>
  </si>
  <si>
    <t xml:space="preserve">7003</t>
  </si>
  <si>
    <t xml:space="preserve">SAP I</t>
  </si>
  <si>
    <t xml:space="preserve">ECCL7003</t>
  </si>
  <si>
    <t xml:space="preserve">7004</t>
  </si>
  <si>
    <t xml:space="preserve">SAP II</t>
  </si>
  <si>
    <t xml:space="preserve">ECCL7004</t>
  </si>
  <si>
    <t xml:space="preserve">7005</t>
  </si>
  <si>
    <t xml:space="preserve">CERTIFICACION YELLOW BELT</t>
  </si>
  <si>
    <t xml:space="preserve">ECCL7005</t>
  </si>
  <si>
    <t xml:space="preserve">7006</t>
  </si>
  <si>
    <t xml:space="preserve">LESCO I</t>
  </si>
  <si>
    <t xml:space="preserve">ECCL7006</t>
  </si>
  <si>
    <t xml:space="preserve">7007</t>
  </si>
  <si>
    <t xml:space="preserve">LESCO II</t>
  </si>
  <si>
    <t xml:space="preserve">ECCL7007</t>
  </si>
  <si>
    <t xml:space="preserve">7008</t>
  </si>
  <si>
    <t xml:space="preserve">LESCO III</t>
  </si>
  <si>
    <t xml:space="preserve">ECCL7008</t>
  </si>
  <si>
    <t xml:space="preserve">7009</t>
  </si>
  <si>
    <t xml:space="preserve">CCNA 01</t>
  </si>
  <si>
    <t xml:space="preserve">ECCL7009</t>
  </si>
  <si>
    <t xml:space="preserve">7010</t>
  </si>
  <si>
    <t xml:space="preserve">CCNA 02</t>
  </si>
  <si>
    <t xml:space="preserve">ECCL7010</t>
  </si>
  <si>
    <t xml:space="preserve">7011</t>
  </si>
  <si>
    <t xml:space="preserve">CCNA 03</t>
  </si>
  <si>
    <t xml:space="preserve">ECCL7011</t>
  </si>
  <si>
    <t xml:space="preserve">7012</t>
  </si>
  <si>
    <t xml:space="preserve">CERTIFICACION SCRUM MASTER</t>
  </si>
  <si>
    <t xml:space="preserve">ECCL7012</t>
  </si>
  <si>
    <t xml:space="preserve">ECTE</t>
  </si>
  <si>
    <t xml:space="preserve">6066</t>
  </si>
  <si>
    <t xml:space="preserve">INTRODUCCION A LA CALIDAD</t>
  </si>
  <si>
    <t xml:space="preserve">ECTE6066</t>
  </si>
  <si>
    <t xml:space="preserve">6067</t>
  </si>
  <si>
    <t xml:space="preserve">GEST DE CALID APLIC EN INVENT</t>
  </si>
  <si>
    <t xml:space="preserve">ECTE6067</t>
  </si>
  <si>
    <t xml:space="preserve">6068</t>
  </si>
  <si>
    <t xml:space="preserve">SISTEMA DE GESTION DE PROCESOS</t>
  </si>
  <si>
    <t xml:space="preserve">ECTE6068</t>
  </si>
  <si>
    <t xml:space="preserve">6069</t>
  </si>
  <si>
    <t xml:space="preserve">GEST DE CALIDAD EN LOGISTICA</t>
  </si>
  <si>
    <t xml:space="preserve">ECTE6069</t>
  </si>
  <si>
    <t xml:space="preserve">6070</t>
  </si>
  <si>
    <t xml:space="preserve">ECTE6070</t>
  </si>
  <si>
    <t xml:space="preserve">6050</t>
  </si>
  <si>
    <t xml:space="preserve">FUNDAMENTOS DEL DISENO GRAFICO</t>
  </si>
  <si>
    <t xml:space="preserve">ECTE6050</t>
  </si>
  <si>
    <t xml:space="preserve">6051</t>
  </si>
  <si>
    <t xml:space="preserve">CONCEPTUALIZAC Y CREATIVIDAD</t>
  </si>
  <si>
    <t xml:space="preserve">ECTE6051</t>
  </si>
  <si>
    <t xml:space="preserve">6052</t>
  </si>
  <si>
    <t xml:space="preserve">DISENO DIGITAL I</t>
  </si>
  <si>
    <t xml:space="preserve">ECTE6052</t>
  </si>
  <si>
    <t xml:space="preserve">6053</t>
  </si>
  <si>
    <t xml:space="preserve">DISENO DIGITAL II</t>
  </si>
  <si>
    <t xml:space="preserve">ECTE6053</t>
  </si>
  <si>
    <t xml:space="preserve">6054</t>
  </si>
  <si>
    <t xml:space="preserve">DISENO DIGITAL III</t>
  </si>
  <si>
    <t xml:space="preserve">ECTE6054</t>
  </si>
  <si>
    <t xml:space="preserve">6055</t>
  </si>
  <si>
    <t xml:space="preserve">IMAGEN CORPORATIVA</t>
  </si>
  <si>
    <t xml:space="preserve">ECTE6055</t>
  </si>
  <si>
    <t xml:space="preserve">6056</t>
  </si>
  <si>
    <t xml:space="preserve">DISENO DE MATERIAL IMPRESO</t>
  </si>
  <si>
    <t xml:space="preserve">ECTE6056</t>
  </si>
  <si>
    <t xml:space="preserve">6057</t>
  </si>
  <si>
    <t xml:space="preserve">PROYECTO SUPERVISADO</t>
  </si>
  <si>
    <t xml:space="preserve">ECTE6057</t>
  </si>
  <si>
    <t xml:space="preserve">6058</t>
  </si>
  <si>
    <t xml:space="preserve">FUNDAM DE MARKETING DIGITAL</t>
  </si>
  <si>
    <t xml:space="preserve">ECTE6058</t>
  </si>
  <si>
    <t xml:space="preserve">6059</t>
  </si>
  <si>
    <t xml:space="preserve">CONTENIDO Y REDES SOCIALES</t>
  </si>
  <si>
    <t xml:space="preserve">ECTE6059</t>
  </si>
  <si>
    <t xml:space="preserve">6060</t>
  </si>
  <si>
    <t xml:space="preserve">WEB Y MOTORES DE BUSQUEDA</t>
  </si>
  <si>
    <t xml:space="preserve">ECTE6060</t>
  </si>
  <si>
    <t xml:space="preserve">6061</t>
  </si>
  <si>
    <t xml:space="preserve">DISENO Y DESARROLLO WEB</t>
  </si>
  <si>
    <t xml:space="preserve">ECTE6061</t>
  </si>
  <si>
    <t xml:space="preserve">6062</t>
  </si>
  <si>
    <t xml:space="preserve">EMAIL Y MOBILE MARKETING</t>
  </si>
  <si>
    <t xml:space="preserve">ECTE6062</t>
  </si>
  <si>
    <t xml:space="preserve">6063</t>
  </si>
  <si>
    <t xml:space="preserve">PUBLICIDAD ONLINE</t>
  </si>
  <si>
    <t xml:space="preserve">ECTE6063</t>
  </si>
  <si>
    <t xml:space="preserve">6064</t>
  </si>
  <si>
    <t xml:space="preserve">ANALITICA WEB</t>
  </si>
  <si>
    <t xml:space="preserve">ECTE6064</t>
  </si>
  <si>
    <t xml:space="preserve">6065</t>
  </si>
  <si>
    <t xml:space="preserve">OPTIMIZACION WEB</t>
  </si>
  <si>
    <t xml:space="preserve">ECTE6065</t>
  </si>
  <si>
    <t xml:space="preserve">6071</t>
  </si>
  <si>
    <t xml:space="preserve">ADMIN DE PROCESOS INDUSTRIALES</t>
  </si>
  <si>
    <t xml:space="preserve">ECTE6071</t>
  </si>
  <si>
    <t xml:space="preserve">6072</t>
  </si>
  <si>
    <t xml:space="preserve">ADMIN DEL RECURSOS HUMANO</t>
  </si>
  <si>
    <t xml:space="preserve">ECTE6072</t>
  </si>
  <si>
    <t xml:space="preserve">6073</t>
  </si>
  <si>
    <t xml:space="preserve">ECTE6073</t>
  </si>
  <si>
    <t xml:space="preserve">6074</t>
  </si>
  <si>
    <t xml:space="preserve">ESTUD DE TIEMP Y METOD DE TRAB</t>
  </si>
  <si>
    <t xml:space="preserve">ECTE6074</t>
  </si>
  <si>
    <t xml:space="preserve">6075</t>
  </si>
  <si>
    <t xml:space="preserve">ECTE6075</t>
  </si>
  <si>
    <t xml:space="preserve">6076</t>
  </si>
  <si>
    <t xml:space="preserve">CONTROL DE COSTOS DE PRODUC</t>
  </si>
  <si>
    <t xml:space="preserve">ECTE6076</t>
  </si>
  <si>
    <t xml:space="preserve">5058</t>
  </si>
  <si>
    <t xml:space="preserve">OPERAC Y ESTRATEG COMERC</t>
  </si>
  <si>
    <t xml:space="preserve">ECTE5058</t>
  </si>
  <si>
    <t xml:space="preserve">5059</t>
  </si>
  <si>
    <t xml:space="preserve">DIMENSION DE LA INDUSTRIA</t>
  </si>
  <si>
    <t xml:space="preserve">ECTE5059</t>
  </si>
  <si>
    <t xml:space="preserve">5050</t>
  </si>
  <si>
    <t xml:space="preserve">ADMINISTRACION MODERNA</t>
  </si>
  <si>
    <t xml:space="preserve">ECTE5050</t>
  </si>
  <si>
    <t xml:space="preserve">5051</t>
  </si>
  <si>
    <t xml:space="preserve">ENTORNOS DE EMPRENDIMIENTO</t>
  </si>
  <si>
    <t xml:space="preserve">ECTE5051</t>
  </si>
  <si>
    <t xml:space="preserve">5052</t>
  </si>
  <si>
    <t xml:space="preserve">INNOVACION Y CREATIVIDAD</t>
  </si>
  <si>
    <t xml:space="preserve">ECTE5052</t>
  </si>
  <si>
    <t xml:space="preserve">5060</t>
  </si>
  <si>
    <t xml:space="preserve">CONTABILIDAD TECNICA</t>
  </si>
  <si>
    <t xml:space="preserve">ECTE5060</t>
  </si>
  <si>
    <t xml:space="preserve">5061</t>
  </si>
  <si>
    <t xml:space="preserve">ECTE5061</t>
  </si>
  <si>
    <t xml:space="preserve">5055</t>
  </si>
  <si>
    <t xml:space="preserve">DESARROLLO DE MODELOS DE NEG</t>
  </si>
  <si>
    <t xml:space="preserve">ECTE5055</t>
  </si>
  <si>
    <t xml:space="preserve">5056</t>
  </si>
  <si>
    <t xml:space="preserve">EVALUAC Y GESTION DE RIESGOS</t>
  </si>
  <si>
    <t xml:space="preserve">ECTE5056</t>
  </si>
  <si>
    <t xml:space="preserve">5057</t>
  </si>
  <si>
    <t xml:space="preserve">FORMUL Y EVALU DE PROYECT</t>
  </si>
  <si>
    <t xml:space="preserve">ECTE5057</t>
  </si>
  <si>
    <t xml:space="preserve">5062</t>
  </si>
  <si>
    <t xml:space="preserve">ECTE5062</t>
  </si>
  <si>
    <t xml:space="preserve">5063</t>
  </si>
  <si>
    <t xml:space="preserve">ADMINISTRACION FINANCIERA</t>
  </si>
  <si>
    <t xml:space="preserve">ECTE5063</t>
  </si>
  <si>
    <t xml:space="preserve">5053</t>
  </si>
  <si>
    <t xml:space="preserve">ENTORNO Y DESARROLLO ORGANIZ</t>
  </si>
  <si>
    <t xml:space="preserve">ECTE5053</t>
  </si>
  <si>
    <t xml:space="preserve">5054</t>
  </si>
  <si>
    <t xml:space="preserve">GESTION LABORAL</t>
  </si>
  <si>
    <t xml:space="preserve">ECTE5054</t>
  </si>
  <si>
    <t xml:space="preserve">5064</t>
  </si>
  <si>
    <t xml:space="preserve">TALENTO HUMANO Y EMPRESA</t>
  </si>
  <si>
    <t xml:space="preserve">ECTE5064</t>
  </si>
  <si>
    <t xml:space="preserve">5065</t>
  </si>
  <si>
    <t xml:space="preserve">TRANSF DIGITAL Y TALENTO HUMAN</t>
  </si>
  <si>
    <t xml:space="preserve">ECTE5065</t>
  </si>
  <si>
    <t xml:space="preserve">5066</t>
  </si>
  <si>
    <t xml:space="preserve">GESTION DE CAMBIO</t>
  </si>
  <si>
    <t xml:space="preserve">ECTE5066</t>
  </si>
  <si>
    <t xml:space="preserve">5067</t>
  </si>
  <si>
    <t xml:space="preserve">FUNDAMENTOS DE LEGISL LABORAL</t>
  </si>
  <si>
    <t xml:space="preserve">ECTE5067</t>
  </si>
  <si>
    <t xml:space="preserve">5068</t>
  </si>
  <si>
    <t xml:space="preserve">RSE Y GESTION HUMANA</t>
  </si>
  <si>
    <t xml:space="preserve">ECTE5068</t>
  </si>
  <si>
    <t xml:space="preserve">POMA</t>
  </si>
  <si>
    <t xml:space="preserve">4050</t>
  </si>
  <si>
    <t xml:space="preserve">GLOBALIZ ECONOM MERC COMPETI</t>
  </si>
  <si>
    <t xml:space="preserve">POMA4050</t>
  </si>
  <si>
    <t xml:space="preserve">4051</t>
  </si>
  <si>
    <t xml:space="preserve">LECTURA Y PROC ECONOM DEL PAIS</t>
  </si>
  <si>
    <t xml:space="preserve">POMA4051</t>
  </si>
  <si>
    <t xml:space="preserve">4052</t>
  </si>
  <si>
    <t xml:space="preserve">ORGANIZ ADMINIST APLICADA</t>
  </si>
  <si>
    <t xml:space="preserve">POMA4052</t>
  </si>
  <si>
    <t xml:space="preserve">4053</t>
  </si>
  <si>
    <t xml:space="preserve">CREATIVIDAD E INTUICION</t>
  </si>
  <si>
    <t xml:space="preserve">POMA4053</t>
  </si>
  <si>
    <t xml:space="preserve">4054</t>
  </si>
  <si>
    <t xml:space="preserve">CONTABILIDAD</t>
  </si>
  <si>
    <t xml:space="preserve">POMA4054</t>
  </si>
  <si>
    <t xml:space="preserve">4055</t>
  </si>
  <si>
    <t xml:space="preserve">ART Y PRAC ORGAN ABIERT APREND</t>
  </si>
  <si>
    <t xml:space="preserve">POMA4055</t>
  </si>
  <si>
    <t xml:space="preserve">4056</t>
  </si>
  <si>
    <t xml:space="preserve">DESEMP Y PRODUCT DEL REC HUMAN</t>
  </si>
  <si>
    <t xml:space="preserve">POMA4056</t>
  </si>
  <si>
    <t xml:space="preserve">4057</t>
  </si>
  <si>
    <t xml:space="preserve">TECNOLOGIA Y APRENDIZAJE</t>
  </si>
  <si>
    <t xml:space="preserve">POMA4057</t>
  </si>
  <si>
    <t xml:space="preserve">4058</t>
  </si>
  <si>
    <t xml:space="preserve">LAB DESAR ORGANIZ Y LIDERAZGO</t>
  </si>
  <si>
    <t xml:space="preserve">POMA4058</t>
  </si>
  <si>
    <t xml:space="preserve">4059</t>
  </si>
  <si>
    <t xml:space="preserve">ANALISIS FINANCIERO</t>
  </si>
  <si>
    <t xml:space="preserve">POMA4059</t>
  </si>
  <si>
    <t xml:space="preserve">4060</t>
  </si>
  <si>
    <t xml:space="preserve">POMA4060</t>
  </si>
  <si>
    <t xml:space="preserve">4061</t>
  </si>
  <si>
    <t xml:space="preserve">PLANIF ESTRAT DE LA POLIT EDUC</t>
  </si>
  <si>
    <t xml:space="preserve">POMA4061</t>
  </si>
  <si>
    <t xml:space="preserve">4062</t>
  </si>
  <si>
    <t xml:space="preserve">DISEN OPER Y CONT DEL PROC EDU</t>
  </si>
  <si>
    <t xml:space="preserve">POMA4062</t>
  </si>
  <si>
    <t xml:space="preserve">4063</t>
  </si>
  <si>
    <t xml:space="preserve">FORMUL Y EVALUAC DE PROY EDUCA</t>
  </si>
  <si>
    <t xml:space="preserve">POMA4063</t>
  </si>
  <si>
    <t xml:space="preserve">4064</t>
  </si>
  <si>
    <t xml:space="preserve">GERENCIA DE EMPRESAS EDUCATIV</t>
  </si>
  <si>
    <t xml:space="preserve">POMA4064</t>
  </si>
  <si>
    <t xml:space="preserve">4065</t>
  </si>
  <si>
    <t xml:space="preserve">ENTORNO LEGAL EDUCATIVO</t>
  </si>
  <si>
    <t xml:space="preserve">POMA4065</t>
  </si>
  <si>
    <t xml:space="preserve">4066</t>
  </si>
  <si>
    <t xml:space="preserve">POMA4066</t>
  </si>
  <si>
    <t xml:space="preserve">4067</t>
  </si>
  <si>
    <t xml:space="preserve">HISTORIA DE LA EDUCACION</t>
  </si>
  <si>
    <t xml:space="preserve">POMA4067</t>
  </si>
  <si>
    <t xml:space="preserve">4068</t>
  </si>
  <si>
    <t xml:space="preserve">POMA4068</t>
  </si>
  <si>
    <t xml:space="preserve">4069</t>
  </si>
  <si>
    <t xml:space="preserve">DIDACTICA GENERAL</t>
  </si>
  <si>
    <t xml:space="preserve">POMA4069</t>
  </si>
  <si>
    <t xml:space="preserve">4070</t>
  </si>
  <si>
    <t xml:space="preserve">PSICOPEDAGOGIA</t>
  </si>
  <si>
    <t xml:space="preserve">POMA4070</t>
  </si>
  <si>
    <t xml:space="preserve">4071</t>
  </si>
  <si>
    <t xml:space="preserve">ADM. Y DESARROLLO DEL CURRICUL</t>
  </si>
  <si>
    <t xml:space="preserve">POMA4071</t>
  </si>
  <si>
    <t xml:space="preserve">4072</t>
  </si>
  <si>
    <t xml:space="preserve">EVALUACION EDUCATIVA</t>
  </si>
  <si>
    <t xml:space="preserve">POMA4072</t>
  </si>
  <si>
    <t xml:space="preserve">4073</t>
  </si>
  <si>
    <t xml:space="preserve">EDUCACION COMPARADA</t>
  </si>
  <si>
    <t xml:space="preserve">POMA4073</t>
  </si>
  <si>
    <t xml:space="preserve">4075</t>
  </si>
  <si>
    <t xml:space="preserve">PLANEAM DE DISENO CURRICULAR</t>
  </si>
  <si>
    <t xml:space="preserve">POMA4075</t>
  </si>
  <si>
    <t xml:space="preserve">4076</t>
  </si>
  <si>
    <t xml:space="preserve">INSTRUM DE INVESTI Y EVALU</t>
  </si>
  <si>
    <t xml:space="preserve">POMA4076</t>
  </si>
  <si>
    <t xml:space="preserve">4077</t>
  </si>
  <si>
    <t xml:space="preserve">TALLER MULTIM Y MAT DIDACT</t>
  </si>
  <si>
    <t xml:space="preserve">POMA4077</t>
  </si>
  <si>
    <t xml:space="preserve">4078</t>
  </si>
  <si>
    <t xml:space="preserve">PLANIF ESTRAT DE LA POLITICA</t>
  </si>
  <si>
    <t xml:space="preserve">POMA4078</t>
  </si>
  <si>
    <t xml:space="preserve">4079</t>
  </si>
  <si>
    <t xml:space="preserve">ADMINISTRACION EDUCATIVA</t>
  </si>
  <si>
    <t xml:space="preserve">POMA4079</t>
  </si>
  <si>
    <t xml:space="preserve">4080</t>
  </si>
  <si>
    <t xml:space="preserve">FORMUL Y EVAL DE PROYEC EDUCAT</t>
  </si>
  <si>
    <t xml:space="preserve">POMA4080</t>
  </si>
  <si>
    <t xml:space="preserve">4081</t>
  </si>
  <si>
    <t xml:space="preserve">DISENO OPER Y CONTR  PROC EDUC</t>
  </si>
  <si>
    <t xml:space="preserve">POMA4081</t>
  </si>
  <si>
    <t xml:space="preserve">5000</t>
  </si>
  <si>
    <t xml:space="preserve">ADMIN DE LA PROD Y OPERAC</t>
  </si>
  <si>
    <t xml:space="preserve">POMA5000</t>
  </si>
  <si>
    <t xml:space="preserve">5018</t>
  </si>
  <si>
    <t xml:space="preserve">POMA5018</t>
  </si>
  <si>
    <t xml:space="preserve">5002</t>
  </si>
  <si>
    <t xml:space="preserve">EVOL Y DESARROLLO EMPRESARIAL</t>
  </si>
  <si>
    <t xml:space="preserve">POMA5002</t>
  </si>
  <si>
    <t xml:space="preserve">5019</t>
  </si>
  <si>
    <t xml:space="preserve">POMA5019</t>
  </si>
  <si>
    <t xml:space="preserve">5004</t>
  </si>
  <si>
    <t xml:space="preserve">DIRECCION FINANCIERA</t>
  </si>
  <si>
    <t xml:space="preserve">POMA5004</t>
  </si>
  <si>
    <t xml:space="preserve">5020</t>
  </si>
  <si>
    <t xml:space="preserve">POMA5020</t>
  </si>
  <si>
    <t xml:space="preserve">5006</t>
  </si>
  <si>
    <t xml:space="preserve">INTELIGENCIA DE NEGOCIOS</t>
  </si>
  <si>
    <t xml:space="preserve">POMA5006</t>
  </si>
  <si>
    <t xml:space="preserve">5007</t>
  </si>
  <si>
    <t xml:space="preserve">ENTORNO HUMANO DE LAS ORGANIZ</t>
  </si>
  <si>
    <t xml:space="preserve">POMA5007</t>
  </si>
  <si>
    <t xml:space="preserve">5008</t>
  </si>
  <si>
    <t xml:space="preserve">CONTROL Y CONTABILIDAD ADMIN</t>
  </si>
  <si>
    <t xml:space="preserve">POMA5008</t>
  </si>
  <si>
    <t xml:space="preserve">5009</t>
  </si>
  <si>
    <t xml:space="preserve">ETICA EN LOS NEGOCIOS</t>
  </si>
  <si>
    <t xml:space="preserve">POMA5009</t>
  </si>
  <si>
    <t xml:space="preserve">5010</t>
  </si>
  <si>
    <t xml:space="preserve">POMA5010</t>
  </si>
  <si>
    <t xml:space="preserve">5011</t>
  </si>
  <si>
    <t xml:space="preserve">ESTRATEGIA GERENCIAL</t>
  </si>
  <si>
    <t xml:space="preserve">POMA5011</t>
  </si>
  <si>
    <t xml:space="preserve">5012</t>
  </si>
  <si>
    <t xml:space="preserve">POMA5012</t>
  </si>
  <si>
    <t xml:space="preserve">5013</t>
  </si>
  <si>
    <t xml:space="preserve">SIST Y TECN INFORM COMPETIT</t>
  </si>
  <si>
    <t xml:space="preserve">POMA5013</t>
  </si>
  <si>
    <t xml:space="preserve">5014</t>
  </si>
  <si>
    <t xml:space="preserve">POMA5014</t>
  </si>
  <si>
    <t xml:space="preserve">5015</t>
  </si>
  <si>
    <t xml:space="preserve">COMERCIO Y FINANZAS INTERN</t>
  </si>
  <si>
    <t xml:space="preserve">POMA5015</t>
  </si>
  <si>
    <t xml:space="preserve">5016</t>
  </si>
  <si>
    <t xml:space="preserve">DECISIONES DE INVERS Y FINANC</t>
  </si>
  <si>
    <t xml:space="preserve">POMA5016</t>
  </si>
  <si>
    <t xml:space="preserve">5017</t>
  </si>
  <si>
    <t xml:space="preserve">MERCAD E INTERMEDIARIOS FINANC</t>
  </si>
  <si>
    <t xml:space="preserve">POMA5017</t>
  </si>
  <si>
    <t xml:space="preserve">5021</t>
  </si>
  <si>
    <t xml:space="preserve">PROYECTO DE GRADUACION II</t>
  </si>
  <si>
    <t xml:space="preserve">POMA5021</t>
  </si>
  <si>
    <t xml:space="preserve">HISTORIA DE COSTA RICA I</t>
  </si>
  <si>
    <t xml:space="preserve">CSCE0053</t>
  </si>
  <si>
    <t xml:space="preserve">HISTORIA DE AMERICA I</t>
  </si>
  <si>
    <t xml:space="preserve">CSCE0054</t>
  </si>
  <si>
    <t xml:space="preserve">2093</t>
  </si>
  <si>
    <t xml:space="preserve">PRUEBA GRADO 2 EST. SOCIALES</t>
  </si>
  <si>
    <t xml:space="preserve">CSCE2093</t>
  </si>
  <si>
    <t xml:space="preserve">2094</t>
  </si>
  <si>
    <t xml:space="preserve">PRUEBA GRADO 3 EST. SOCIALES</t>
  </si>
  <si>
    <t xml:space="preserve">CSCE2094</t>
  </si>
  <si>
    <t xml:space="preserve">2095</t>
  </si>
  <si>
    <t xml:space="preserve">CSCE2095</t>
  </si>
  <si>
    <t xml:space="preserve">2096</t>
  </si>
  <si>
    <t xml:space="preserve">CSCE2096</t>
  </si>
  <si>
    <t xml:space="preserve">2097</t>
  </si>
  <si>
    <t xml:space="preserve">CSCE2097</t>
  </si>
  <si>
    <t xml:space="preserve">2098</t>
  </si>
  <si>
    <t xml:space="preserve">PRUEBA GRADO 1 ESPANOL</t>
  </si>
  <si>
    <t xml:space="preserve">CSCE2098</t>
  </si>
  <si>
    <t xml:space="preserve">2099</t>
  </si>
  <si>
    <t xml:space="preserve">PRUEBA GRADO 2 ESPANOL</t>
  </si>
  <si>
    <t xml:space="preserve">CSCE2099</t>
  </si>
  <si>
    <t xml:space="preserve">2100</t>
  </si>
  <si>
    <t xml:space="preserve">PRUEBA GRADO 3 ESPANOL</t>
  </si>
  <si>
    <t xml:space="preserve">CSCE2100</t>
  </si>
  <si>
    <t xml:space="preserve">ELECTIVA HUMANISTICA II</t>
  </si>
  <si>
    <t xml:space="preserve">AHCN0125</t>
  </si>
  <si>
    <t xml:space="preserve">0200</t>
  </si>
  <si>
    <t xml:space="preserve">EMPRENDEDURISMO</t>
  </si>
  <si>
    <t xml:space="preserve">AHCN0200</t>
  </si>
  <si>
    <t xml:space="preserve">0201</t>
  </si>
  <si>
    <t xml:space="preserve">APROVECHAMIENTO DEL TIEMPO</t>
  </si>
  <si>
    <t xml:space="preserve">AHCN0201</t>
  </si>
  <si>
    <t xml:space="preserve">COMUNICACION ESTRATEGICA</t>
  </si>
  <si>
    <t xml:space="preserve">ANALISIS Y PRESUPUESTO TRANSM</t>
  </si>
  <si>
    <t xml:space="preserve">FORM Y EVAL PROYECTOS COMUNIC</t>
  </si>
  <si>
    <t xml:space="preserve">ESTRATEGIA Y COMUNICACION COM</t>
  </si>
  <si>
    <t xml:space="preserve">PLATAFORMAS Y HERRAMIENTAS DIG</t>
  </si>
  <si>
    <t xml:space="preserve">ESTRATEGIA DIGITAL</t>
  </si>
  <si>
    <t xml:space="preserve">6096</t>
  </si>
  <si>
    <t xml:space="preserve">INT CALIDAD Y CADENA SUMINIST</t>
  </si>
  <si>
    <t xml:space="preserve">6097</t>
  </si>
  <si>
    <t xml:space="preserve">ESTRAT Y DIS CADENA SUMINIST</t>
  </si>
  <si>
    <t xml:space="preserve">6098</t>
  </si>
  <si>
    <t xml:space="preserve">COLAB  INT PROC CADENA SUMINIS</t>
  </si>
  <si>
    <t xml:space="preserve">6099</t>
  </si>
  <si>
    <t xml:space="preserve">GEST CALIDAD APLIC INVENTARIOS</t>
  </si>
  <si>
    <t xml:space="preserve">6100</t>
  </si>
  <si>
    <t xml:space="preserve">HERRAMIENTAS CALID MEJORA CONT</t>
  </si>
  <si>
    <t xml:space="preserve">6101</t>
  </si>
  <si>
    <t xml:space="preserve">SISTEMA GEST CALID METR NORM</t>
  </si>
  <si>
    <t xml:space="preserve">6102</t>
  </si>
  <si>
    <t xml:space="preserve">TRANSPORTE Y DISTRIBUCIÓN LOG</t>
  </si>
  <si>
    <t xml:space="preserve">6103</t>
  </si>
  <si>
    <t xml:space="preserve">GESTION DE ALMACENES </t>
  </si>
  <si>
    <t xml:space="preserve">6104</t>
  </si>
  <si>
    <t xml:space="preserve">INTR ESTADIS INFER APLIC  EMPR</t>
  </si>
  <si>
    <t xml:space="preserve">6105</t>
  </si>
  <si>
    <t xml:space="preserve">6106</t>
  </si>
  <si>
    <t xml:space="preserve">ADMINISTRAC PROCESOS PRODUCTIV</t>
  </si>
  <si>
    <t xml:space="preserve">6107</t>
  </si>
  <si>
    <t xml:space="preserve">ADMINISTRAC RECURSOS HUMANOS</t>
  </si>
  <si>
    <t xml:space="preserve">6108</t>
  </si>
  <si>
    <t xml:space="preserve">ESTUDIO TIEMPO Y MOVIMIENTOS</t>
  </si>
  <si>
    <t xml:space="preserve">6109</t>
  </si>
  <si>
    <t xml:space="preserve">METODOS DE TRABAJO</t>
  </si>
  <si>
    <t xml:space="preserve">6110</t>
  </si>
  <si>
    <t xml:space="preserve">DISENO DE PLANTA</t>
  </si>
  <si>
    <t xml:space="preserve">6111</t>
  </si>
  <si>
    <t xml:space="preserve">0130</t>
  </si>
  <si>
    <t xml:space="preserve">0131</t>
  </si>
  <si>
    <t xml:space="preserve">0132</t>
  </si>
  <si>
    <t xml:space="preserve">0133</t>
  </si>
  <si>
    <t xml:space="preserve">AHCN0126</t>
  </si>
  <si>
    <t xml:space="preserve">GESTION DEL TALENTO HUMANO</t>
  </si>
  <si>
    <t xml:space="preserve">AHCN0075</t>
  </si>
  <si>
    <t xml:space="preserve">GESTION DEL RECURSO HUMANO</t>
  </si>
  <si>
    <t xml:space="preserve">AHCN0127</t>
  </si>
  <si>
    <t xml:space="preserve">INTI0119</t>
  </si>
  <si>
    <t xml:space="preserve">AHCN0128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</si>
</sst>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2"/>
      <charset val="1"/>
    </font>
    <font>
      <sz val="11"/>
      <color rgb="FF000000"/>
      <name val="Arial"/>
      <family val="2"/>
      <charset val="1"/>
    </font>
    <font>
      <sz val="11"/>
      <color rgb="FFFF0000"/>
      <name val="Arial"/>
      <family val="2"/>
      <charset val="1"/>
    </font>
    <font>
      <sz val="11"/>
      <name val="Arial"/>
      <family val="2"/>
      <charset val="1"/>
    </font>
    <font>
      <b val="true"/>
      <sz val="11"/>
      <color rgb="FF0070C0"/>
      <name val="Aptos Narrow"/>
      <family val="2"/>
      <charset val="1"/>
    </font>
    <font>
      <b val="true"/>
      <sz val="11"/>
      <color rgb="FF9C0006"/>
      <name val="Aptos Narrow"/>
      <family val="2"/>
      <charset val="1"/>
    </font>
    <font>
      <sz val="11"/>
      <color rgb="FF7E350E"/>
      <name val="Arial"/>
      <family val="2"/>
      <charset val="1"/>
    </font>
    <font>
      <sz val="10"/>
      <color rgb="FF000000"/>
      <name val="Times New Roman"/>
      <family val="1"/>
      <charset val="1"/>
    </font>
    <font>
      <sz val="10"/>
      <name val="Arial"/>
      <family val="2"/>
      <charset val="1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3CCEB"/>
        <bgColor rgb="FFC0C0C0"/>
      </patternFill>
    </fill>
    <fill>
      <patternFill patternType="solid">
        <fgColor rgb="FFCAEDFB"/>
        <bgColor rgb="FFCAEEFB"/>
      </patternFill>
    </fill>
    <fill>
      <patternFill patternType="solid">
        <fgColor rgb="FFCAEEFB"/>
        <bgColor rgb="FFCAEDFB"/>
      </patternFill>
    </fill>
    <fill>
      <patternFill patternType="solid">
        <fgColor rgb="FFFFC7CE"/>
        <bgColor rgb="FFFFCC99"/>
      </patternFill>
    </fill>
    <fill>
      <patternFill patternType="solid">
        <fgColor rgb="FFFFFFFF"/>
        <bgColor rgb="FFF7F7F7"/>
      </patternFill>
    </fill>
    <fill>
      <patternFill patternType="solid">
        <fgColor rgb="FFFFCC99"/>
        <bgColor rgb="FFFFC7CE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F7F7F7"/>
      </left>
      <right style="thin">
        <color rgb="FFF7F7F7"/>
      </right>
      <top style="thin">
        <color rgb="FFF7F7F7"/>
      </top>
      <bottom style="thin">
        <color rgb="FFF7F7F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1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7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2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5">
    <dxf>
      <fill>
        <patternFill patternType="solid">
          <fgColor rgb="FF83CCEB"/>
        </patternFill>
      </fill>
    </dxf>
    <dxf>
      <fill>
        <patternFill patternType="solid">
          <fgColor rgb="FFCAEDFB"/>
        </patternFill>
      </fill>
    </dxf>
    <dxf>
      <fill>
        <patternFill patternType="solid">
          <fgColor rgb="FFCAEEFB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070C0"/>
        </patternFill>
      </fill>
    </dxf>
    <dxf>
      <fill>
        <patternFill patternType="solid">
          <fgColor rgb="FF7E350E"/>
        </patternFill>
      </fill>
    </dxf>
    <dxf>
      <fill>
        <patternFill patternType="solid">
          <fgColor rgb="FF9C0006"/>
        </patternFill>
      </fill>
    </dxf>
    <dxf>
      <fill>
        <patternFill patternType="solid">
          <f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name val="Aptos Narrow"/>
        <charset val="1"/>
        <family val="2"/>
        <color rgb="FF800080"/>
        <sz val="11"/>
      </font>
      <fill>
        <patternFill>
          <bgColor rgb="FFFF99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7F7F7"/>
      <rgbColor rgb="FFCAEEFB"/>
      <rgbColor rgb="FF660066"/>
      <rgbColor rgb="FFFF8080"/>
      <rgbColor rgb="FF0070C0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AEDFB"/>
      <rgbColor rgb="FFCCFFCC"/>
      <rgbColor rgb="FFFFFF99"/>
      <rgbColor rgb="FF83CCEB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E35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439"/>
  <sheetViews>
    <sheetView showFormulas="false" showGridLines="true" showRowColHeaders="true" showZeros="true" rightToLeft="false" tabSelected="false" showOutlineSymbols="true" defaultGridColor="true" view="normal" topLeftCell="A229" colorId="64" zoomScale="100" zoomScaleNormal="100" zoomScalePageLayoutView="100" workbookViewId="0">
      <selection pane="topLeft" activeCell="A438" activeCellId="0" sqref="A438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9.14"/>
    <col collapsed="false" customWidth="true" hidden="false" outlineLevel="0" max="3" min="2" style="0" width="63.43"/>
    <col collapsed="false" customWidth="true" hidden="false" outlineLevel="0" max="4" min="4" style="0" width="5.43"/>
    <col collapsed="false" customWidth="true" hidden="false" outlineLevel="0" max="5" min="5" style="0" width="63.43"/>
    <col collapsed="false" customWidth="true" hidden="false" outlineLevel="0" max="6" min="6" style="0" width="3"/>
    <col collapsed="false" customWidth="true" hidden="false" outlineLevel="0" max="7" min="7" style="0" width="4.14"/>
    <col collapsed="false" customWidth="true" hidden="false" outlineLevel="0" max="8" min="8" style="0" width="33.57"/>
    <col collapsed="false" customWidth="true" hidden="false" outlineLevel="0" max="11" min="11" style="0" width="7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 t="s">
        <v>3</v>
      </c>
      <c r="I1" s="1"/>
    </row>
    <row r="2" s="3" customFormat="true" ht="15" hidden="false" customHeight="false" outlineLevel="0" collapsed="false">
      <c r="A2" s="2" t="s">
        <v>4</v>
      </c>
      <c r="B2" s="1" t="s">
        <v>5</v>
      </c>
      <c r="C2" s="1" t="str">
        <f aca="false">IF(G2=0,E2,B2)</f>
        <v>ADM PROC PROD</v>
      </c>
      <c r="D2" s="1" t="n">
        <f aca="false">LEN(C2)</f>
        <v>13</v>
      </c>
      <c r="E2" s="1" t="s">
        <v>6</v>
      </c>
      <c r="F2" s="1" t="n">
        <f aca="false">LEN(B2)</f>
        <v>38</v>
      </c>
      <c r="G2" s="1" t="n">
        <v>0</v>
      </c>
      <c r="K2" s="3" t="s">
        <v>5</v>
      </c>
      <c r="L2" s="3" t="s">
        <v>6</v>
      </c>
    </row>
    <row r="3" customFormat="false" ht="15" hidden="false" customHeight="false" outlineLevel="0" collapsed="false">
      <c r="A3" s="4" t="s">
        <v>7</v>
      </c>
      <c r="B3" s="1" t="s">
        <v>5</v>
      </c>
      <c r="C3" s="1" t="str">
        <f aca="false">IF(G3=0,E3,B3)</f>
        <v>ADM PROC PROD</v>
      </c>
      <c r="D3" s="1" t="n">
        <f aca="false">LEN(C3)</f>
        <v>13</v>
      </c>
      <c r="E3" s="1" t="s">
        <v>6</v>
      </c>
      <c r="F3" s="1" t="n">
        <f aca="false">LEN(B3)</f>
        <v>38</v>
      </c>
      <c r="G3" s="1" t="n">
        <v>0</v>
      </c>
      <c r="K3" s="0" t="s">
        <v>5</v>
      </c>
      <c r="L3" s="0" t="s">
        <v>6</v>
      </c>
    </row>
    <row r="4" customFormat="false" ht="15" hidden="false" customHeight="false" outlineLevel="0" collapsed="false">
      <c r="A4" s="1" t="s">
        <v>8</v>
      </c>
      <c r="B4" s="1" t="s">
        <v>9</v>
      </c>
      <c r="C4" s="1" t="str">
        <f aca="false">IF(G4=0,E4,B4)</f>
        <v>ADMINISTRACIÓN DE PROYECTOS</v>
      </c>
      <c r="D4" s="1" t="n">
        <f aca="false">LEN(C4)</f>
        <v>27</v>
      </c>
      <c r="E4" s="1" t="str">
        <f aca="false">IF(F4&lt;=27,C4,E4)</f>
        <v>ADMINISTRACIÓN DE PROYECTOS</v>
      </c>
      <c r="F4" s="1" t="n">
        <f aca="false">LEN(B4)</f>
        <v>27</v>
      </c>
      <c r="G4" s="1" t="n">
        <v>1</v>
      </c>
      <c r="H4" s="0" t="n">
        <v>3</v>
      </c>
      <c r="K4" s="0" t="s">
        <v>10</v>
      </c>
      <c r="L4" s="0" t="s">
        <v>11</v>
      </c>
    </row>
    <row r="5" customFormat="false" ht="15" hidden="false" customHeight="false" outlineLevel="0" collapsed="false">
      <c r="A5" s="4" t="s">
        <v>12</v>
      </c>
      <c r="B5" s="1" t="s">
        <v>10</v>
      </c>
      <c r="C5" s="1" t="str">
        <f aca="false">IF(G5=0,E5,B5)</f>
        <v>ADM RR HH</v>
      </c>
      <c r="D5" s="1" t="n">
        <f aca="false">LEN(C5)</f>
        <v>9</v>
      </c>
      <c r="E5" s="1" t="s">
        <v>11</v>
      </c>
      <c r="F5" s="1" t="n">
        <f aca="false">LEN(B5)</f>
        <v>34</v>
      </c>
      <c r="G5" s="1" t="n">
        <v>0</v>
      </c>
      <c r="K5" s="0" t="s">
        <v>10</v>
      </c>
      <c r="L5" s="0" t="s">
        <v>11</v>
      </c>
    </row>
    <row r="6" customFormat="false" ht="15" hidden="false" customHeight="false" outlineLevel="0" collapsed="false">
      <c r="A6" s="2" t="s">
        <v>13</v>
      </c>
      <c r="B6" s="1" t="s">
        <v>10</v>
      </c>
      <c r="C6" s="1" t="str">
        <f aca="false">IF(G6=0,E6,B6)</f>
        <v>ADM RR HH</v>
      </c>
      <c r="D6" s="1" t="n">
        <f aca="false">LEN(C6)</f>
        <v>9</v>
      </c>
      <c r="E6" s="1" t="s">
        <v>11</v>
      </c>
      <c r="F6" s="1" t="n">
        <f aca="false">LEN(B6)</f>
        <v>34</v>
      </c>
      <c r="G6" s="1" t="n">
        <v>0</v>
      </c>
      <c r="K6" s="0" t="s">
        <v>14</v>
      </c>
      <c r="L6" s="0" t="s">
        <v>15</v>
      </c>
    </row>
    <row r="7" customFormat="false" ht="15" hidden="false" customHeight="false" outlineLevel="0" collapsed="false">
      <c r="A7" s="1" t="s">
        <v>16</v>
      </c>
      <c r="B7" s="1" t="s">
        <v>14</v>
      </c>
      <c r="C7" s="1" t="str">
        <f aca="false">IF(G7=0,E7,B7)</f>
        <v>ALFA DIGI ADUL</v>
      </c>
      <c r="D7" s="1" t="n">
        <f aca="false">LEN(C7)</f>
        <v>14</v>
      </c>
      <c r="E7" s="1" t="s">
        <v>15</v>
      </c>
      <c r="F7" s="1" t="n">
        <f aca="false">LEN(B7)</f>
        <v>33</v>
      </c>
      <c r="G7" s="1" t="n">
        <v>0</v>
      </c>
      <c r="K7" s="0" t="s">
        <v>17</v>
      </c>
      <c r="L7" s="0" t="s">
        <v>18</v>
      </c>
    </row>
    <row r="8" customFormat="false" ht="15" hidden="false" customHeight="false" outlineLevel="0" collapsed="false">
      <c r="A8" s="5" t="s">
        <v>19</v>
      </c>
      <c r="B8" s="1" t="s">
        <v>17</v>
      </c>
      <c r="C8" s="1" t="str">
        <f aca="false">IF(G8=0,E8,B8)</f>
        <v>ÁLGE ELEM ESTR MATE</v>
      </c>
      <c r="D8" s="1" t="n">
        <f aca="false">LEN(C8)</f>
        <v>19</v>
      </c>
      <c r="E8" s="1" t="s">
        <v>18</v>
      </c>
      <c r="F8" s="1" t="n">
        <f aca="false">LEN(B8)</f>
        <v>43</v>
      </c>
      <c r="G8" s="1" t="n">
        <v>0</v>
      </c>
      <c r="H8" s="6" t="n">
        <v>3</v>
      </c>
      <c r="K8" s="0" t="s">
        <v>20</v>
      </c>
      <c r="L8" s="0" t="s">
        <v>21</v>
      </c>
    </row>
    <row r="9" customFormat="false" ht="15" hidden="false" customHeight="false" outlineLevel="0" collapsed="false">
      <c r="A9" s="7" t="s">
        <v>22</v>
      </c>
      <c r="B9" s="1" t="s">
        <v>20</v>
      </c>
      <c r="C9" s="1" t="str">
        <f aca="false">IF(G9=0,E9,B9)</f>
        <v>AMBI APRE JUEGO</v>
      </c>
      <c r="D9" s="1" t="n">
        <f aca="false">LEN(C9)</f>
        <v>15</v>
      </c>
      <c r="E9" s="1" t="s">
        <v>21</v>
      </c>
      <c r="F9" s="1" t="n">
        <f aca="false">LEN(B9)</f>
        <v>32</v>
      </c>
      <c r="G9" s="1" t="n">
        <v>0</v>
      </c>
      <c r="H9" s="6" t="n">
        <v>3</v>
      </c>
      <c r="K9" s="0" t="s">
        <v>23</v>
      </c>
      <c r="L9" s="0" t="s">
        <v>24</v>
      </c>
    </row>
    <row r="10" customFormat="false" ht="15" hidden="false" customHeight="false" outlineLevel="0" collapsed="false">
      <c r="A10" s="7" t="s">
        <v>25</v>
      </c>
      <c r="B10" s="1" t="s">
        <v>23</v>
      </c>
      <c r="C10" s="1" t="str">
        <f aca="false">IF(G10=0,E10,B10)</f>
        <v>ANÁL COGN APRE MATE I II CI</v>
      </c>
      <c r="D10" s="1" t="n">
        <f aca="false">LEN(C10)</f>
        <v>27</v>
      </c>
      <c r="E10" s="1" t="s">
        <v>24</v>
      </c>
      <c r="F10" s="1" t="n">
        <f aca="false">LEN(B10)</f>
        <v>62</v>
      </c>
      <c r="G10" s="1" t="n">
        <v>0</v>
      </c>
      <c r="H10" s="6" t="n">
        <v>3</v>
      </c>
      <c r="K10" s="0" t="s">
        <v>26</v>
      </c>
      <c r="L10" s="0" t="s">
        <v>27</v>
      </c>
    </row>
    <row r="11" customFormat="false" ht="15" hidden="false" customHeight="false" outlineLevel="0" collapsed="false">
      <c r="A11" s="5" t="s">
        <v>28</v>
      </c>
      <c r="B11" s="1" t="s">
        <v>26</v>
      </c>
      <c r="C11" s="1" t="str">
        <f aca="false">IF(G11=0,E11,B11)</f>
        <v>ANÁL DISC E INTE</v>
      </c>
      <c r="D11" s="1" t="n">
        <f aca="false">LEN(C11)</f>
        <v>16</v>
      </c>
      <c r="E11" s="1" t="s">
        <v>27</v>
      </c>
      <c r="F11" s="1" t="n">
        <f aca="false">LEN(B11)</f>
        <v>41</v>
      </c>
      <c r="G11" s="1" t="n">
        <v>0</v>
      </c>
      <c r="K11" s="0" t="s">
        <v>29</v>
      </c>
      <c r="L11" s="0" t="s">
        <v>30</v>
      </c>
    </row>
    <row r="12" customFormat="false" ht="15" hidden="false" customHeight="false" outlineLevel="0" collapsed="false">
      <c r="A12" s="1" t="s">
        <v>31</v>
      </c>
      <c r="B12" s="1" t="s">
        <v>29</v>
      </c>
      <c r="C12" s="1" t="str">
        <f aca="false">IF(G12=0,E12,B12)</f>
        <v>ANÁL ECON POLÍ</v>
      </c>
      <c r="D12" s="1" t="n">
        <f aca="false">LEN(C12)</f>
        <v>14</v>
      </c>
      <c r="E12" s="1" t="s">
        <v>30</v>
      </c>
      <c r="F12" s="1" t="n">
        <f aca="false">LEN(B12)</f>
        <v>29</v>
      </c>
      <c r="G12" s="1" t="n">
        <v>0</v>
      </c>
      <c r="H12" s="0" t="n">
        <v>3</v>
      </c>
      <c r="K12" s="0" t="s">
        <v>32</v>
      </c>
      <c r="L12" s="0" t="s">
        <v>33</v>
      </c>
    </row>
    <row r="13" customFormat="false" ht="15" hidden="false" customHeight="false" outlineLevel="0" collapsed="false">
      <c r="A13" s="1" t="s">
        <v>34</v>
      </c>
      <c r="B13" s="1" t="s">
        <v>32</v>
      </c>
      <c r="C13" s="1" t="str">
        <f aca="false">IF(G13=0,E13,B13)</f>
        <v>ANÁL FINA EDUC</v>
      </c>
      <c r="D13" s="1" t="n">
        <f aca="false">LEN(C13)</f>
        <v>14</v>
      </c>
      <c r="E13" s="1" t="s">
        <v>33</v>
      </c>
      <c r="F13" s="1" t="n">
        <f aca="false">LEN(B13)</f>
        <v>32</v>
      </c>
      <c r="G13" s="1" t="n">
        <v>0</v>
      </c>
      <c r="K13" s="0" t="s">
        <v>35</v>
      </c>
      <c r="L13" s="0" t="s">
        <v>36</v>
      </c>
    </row>
    <row r="14" customFormat="false" ht="15" hidden="false" customHeight="false" outlineLevel="0" collapsed="false">
      <c r="A14" s="8" t="s">
        <v>37</v>
      </c>
      <c r="B14" s="1" t="s">
        <v>38</v>
      </c>
      <c r="C14" s="1" t="str">
        <f aca="false">IF(G14=0,E14,B14)</f>
        <v>ANÁLISIS FUNCIONAL</v>
      </c>
      <c r="D14" s="1" t="n">
        <f aca="false">LEN(C14)</f>
        <v>18</v>
      </c>
      <c r="E14" s="1" t="s">
        <v>38</v>
      </c>
      <c r="F14" s="1" t="n">
        <f aca="false">LEN(B14)</f>
        <v>18</v>
      </c>
      <c r="G14" s="1" t="n">
        <v>1</v>
      </c>
      <c r="H14" s="6" t="n">
        <v>3</v>
      </c>
      <c r="K14" s="0" t="s">
        <v>39</v>
      </c>
      <c r="L14" s="0" t="s">
        <v>40</v>
      </c>
    </row>
    <row r="15" customFormat="false" ht="15" hidden="false" customHeight="false" outlineLevel="0" collapsed="false">
      <c r="A15" s="1" t="s">
        <v>41</v>
      </c>
      <c r="B15" s="1" t="s">
        <v>35</v>
      </c>
      <c r="C15" s="1" t="str">
        <f aca="false">IF(G15=0,E15,B15)</f>
        <v>ANÁL HIST POLÍ EDUC COST</v>
      </c>
      <c r="D15" s="1" t="n">
        <f aca="false">LEN(C15)</f>
        <v>24</v>
      </c>
      <c r="E15" s="1" t="s">
        <v>36</v>
      </c>
      <c r="F15" s="1" t="n">
        <f aca="false">LEN(B15)</f>
        <v>57</v>
      </c>
      <c r="G15" s="1" t="n">
        <v>0</v>
      </c>
      <c r="K15" s="0" t="s">
        <v>42</v>
      </c>
      <c r="L15" s="0" t="s">
        <v>43</v>
      </c>
    </row>
    <row r="16" customFormat="false" ht="15" hidden="false" customHeight="false" outlineLevel="0" collapsed="false">
      <c r="A16" s="1" t="s">
        <v>44</v>
      </c>
      <c r="B16" s="1" t="s">
        <v>39</v>
      </c>
      <c r="C16" s="1" t="str">
        <f aca="false">IF(G16=0,E16,B16)</f>
        <v>ANÁL PRES TRAN</v>
      </c>
      <c r="D16" s="1" t="n">
        <f aca="false">LEN(C16)</f>
        <v>14</v>
      </c>
      <c r="E16" s="1" t="s">
        <v>40</v>
      </c>
      <c r="F16" s="1" t="n">
        <f aca="false">LEN(B16)</f>
        <v>33</v>
      </c>
      <c r="G16" s="1" t="n">
        <v>0</v>
      </c>
      <c r="K16" s="0" t="s">
        <v>45</v>
      </c>
      <c r="L16" s="0" t="s">
        <v>46</v>
      </c>
    </row>
    <row r="17" customFormat="false" ht="15" hidden="false" customHeight="false" outlineLevel="0" collapsed="false">
      <c r="A17" s="1" t="s">
        <v>47</v>
      </c>
      <c r="B17" s="1" t="s">
        <v>48</v>
      </c>
      <c r="C17" s="1" t="str">
        <f aca="false">IF(G17=0,E17,B17)</f>
        <v>ANIMACIÓN</v>
      </c>
      <c r="D17" s="1" t="n">
        <f aca="false">LEN(C17)</f>
        <v>9</v>
      </c>
      <c r="E17" s="1" t="s">
        <v>48</v>
      </c>
      <c r="F17" s="1" t="n">
        <f aca="false">LEN(B17)</f>
        <v>9</v>
      </c>
      <c r="G17" s="1" t="n">
        <v>1</v>
      </c>
      <c r="K17" s="0" t="s">
        <v>49</v>
      </c>
      <c r="L17" s="0" t="s">
        <v>50</v>
      </c>
    </row>
    <row r="18" customFormat="false" ht="15" hidden="false" customHeight="false" outlineLevel="0" collapsed="false">
      <c r="A18" s="1" t="s">
        <v>51</v>
      </c>
      <c r="B18" s="1" t="s">
        <v>42</v>
      </c>
      <c r="C18" s="1" t="str">
        <f aca="false">IF(G18=0,E18,B18)</f>
        <v>APRE MEDI TECN</v>
      </c>
      <c r="D18" s="1" t="n">
        <f aca="false">LEN(C18)</f>
        <v>14</v>
      </c>
      <c r="E18" s="1" t="s">
        <v>43</v>
      </c>
      <c r="F18" s="1" t="n">
        <f aca="false">LEN(B18)</f>
        <v>34</v>
      </c>
      <c r="G18" s="1" t="n">
        <v>0</v>
      </c>
      <c r="K18" s="0" t="s">
        <v>52</v>
      </c>
      <c r="L18" s="0" t="s">
        <v>53</v>
      </c>
    </row>
    <row r="19" customFormat="false" ht="15" hidden="false" customHeight="false" outlineLevel="0" collapsed="false">
      <c r="A19" s="9" t="s">
        <v>54</v>
      </c>
      <c r="B19" s="1" t="s">
        <v>45</v>
      </c>
      <c r="C19" s="1" t="str">
        <f aca="false">IF(G19=0,E19,B19)</f>
        <v>ARGU LÓGICA JURÍ</v>
      </c>
      <c r="D19" s="1" t="n">
        <f aca="false">LEN(C19)</f>
        <v>16</v>
      </c>
      <c r="E19" s="1" t="s">
        <v>46</v>
      </c>
      <c r="F19" s="1" t="n">
        <f aca="false">LEN(B19)</f>
        <v>31</v>
      </c>
      <c r="G19" s="1" t="n">
        <v>0</v>
      </c>
      <c r="H19" s="10" t="n">
        <v>3</v>
      </c>
      <c r="K19" s="0" t="s">
        <v>55</v>
      </c>
      <c r="L19" s="0" t="s">
        <v>56</v>
      </c>
    </row>
    <row r="20" customFormat="false" ht="15" hidden="false" customHeight="false" outlineLevel="0" collapsed="false">
      <c r="A20" s="7" t="s">
        <v>57</v>
      </c>
      <c r="B20" s="1" t="s">
        <v>58</v>
      </c>
      <c r="C20" s="1" t="str">
        <f aca="false">IF(G20=0,E20,B20)</f>
        <v>ARTE Y EXPRESIÓN CREATIVA</v>
      </c>
      <c r="D20" s="1" t="n">
        <f aca="false">LEN(C20)</f>
        <v>26</v>
      </c>
      <c r="E20" s="1" t="s">
        <v>58</v>
      </c>
      <c r="F20" s="1" t="n">
        <f aca="false">LEN(B20)</f>
        <v>26</v>
      </c>
      <c r="G20" s="1" t="n">
        <v>1</v>
      </c>
      <c r="H20" s="6" t="n">
        <v>3</v>
      </c>
      <c r="K20" s="0" t="s">
        <v>59</v>
      </c>
      <c r="L20" s="0" t="s">
        <v>60</v>
      </c>
    </row>
    <row r="21" customFormat="false" ht="15" hidden="false" customHeight="false" outlineLevel="0" collapsed="false">
      <c r="A21" s="1" t="s">
        <v>61</v>
      </c>
      <c r="B21" s="1" t="s">
        <v>62</v>
      </c>
      <c r="C21" s="1" t="str">
        <f aca="false">IF(G21=0,E21,B21)</f>
        <v>ASEGURAMIENTO Y AUDITORÍA</v>
      </c>
      <c r="D21" s="1" t="n">
        <f aca="false">LEN(C21)</f>
        <v>26</v>
      </c>
      <c r="E21" s="1" t="s">
        <v>62</v>
      </c>
      <c r="F21" s="1" t="n">
        <f aca="false">LEN(B21)</f>
        <v>26</v>
      </c>
      <c r="G21" s="1" t="n">
        <v>1</v>
      </c>
      <c r="H21" s="0" t="n">
        <v>3</v>
      </c>
      <c r="K21" s="0" t="s">
        <v>63</v>
      </c>
      <c r="L21" s="0" t="s">
        <v>64</v>
      </c>
    </row>
    <row r="22" customFormat="false" ht="15" hidden="false" customHeight="false" outlineLevel="0" collapsed="false">
      <c r="A22" s="7" t="s">
        <v>65</v>
      </c>
      <c r="B22" s="1" t="s">
        <v>49</v>
      </c>
      <c r="C22" s="1" t="str">
        <f aca="false">IF(G22=0,E22,B22)</f>
        <v>ATEN AVAN DIVE ALTAS CAPA N</v>
      </c>
      <c r="D22" s="1" t="n">
        <f aca="false">LEN(C22)</f>
        <v>27</v>
      </c>
      <c r="E22" s="1" t="s">
        <v>50</v>
      </c>
      <c r="F22" s="1" t="n">
        <f aca="false">LEN(B22)</f>
        <v>66</v>
      </c>
      <c r="G22" s="1" t="n">
        <v>0</v>
      </c>
      <c r="H22" s="6" t="n">
        <v>3</v>
      </c>
      <c r="K22" s="0" t="s">
        <v>66</v>
      </c>
      <c r="L22" s="0" t="s">
        <v>67</v>
      </c>
    </row>
    <row r="23" customFormat="false" ht="15" hidden="false" customHeight="false" outlineLevel="0" collapsed="false">
      <c r="A23" s="11" t="s">
        <v>68</v>
      </c>
      <c r="B23" s="1" t="s">
        <v>69</v>
      </c>
      <c r="C23" s="1" t="str">
        <f aca="false">IF(G23=0,E23,B23)</f>
        <v>AUDITORÍA DE GESTIÓN</v>
      </c>
      <c r="D23" s="1" t="n">
        <f aca="false">LEN(C23)</f>
        <v>20</v>
      </c>
      <c r="E23" s="1" t="s">
        <v>69</v>
      </c>
      <c r="F23" s="1" t="n">
        <f aca="false">LEN(B23)</f>
        <v>20</v>
      </c>
      <c r="G23" s="1" t="n">
        <v>1</v>
      </c>
      <c r="H23" s="3" t="n">
        <v>3</v>
      </c>
      <c r="I23" s="3" t="s">
        <v>70</v>
      </c>
      <c r="K23" s="0" t="s">
        <v>71</v>
      </c>
      <c r="L23" s="0" t="s">
        <v>72</v>
      </c>
    </row>
    <row r="24" customFormat="false" ht="15" hidden="false" customHeight="false" outlineLevel="0" collapsed="false">
      <c r="A24" s="1" t="s">
        <v>73</v>
      </c>
      <c r="B24" s="1" t="s">
        <v>52</v>
      </c>
      <c r="C24" s="1" t="str">
        <f aca="false">IF(G24=0,E24,B24)</f>
        <v>AUDI RR HH</v>
      </c>
      <c r="D24" s="1" t="n">
        <f aca="false">LEN(C24)</f>
        <v>10</v>
      </c>
      <c r="E24" s="1" t="s">
        <v>53</v>
      </c>
      <c r="F24" s="1" t="n">
        <f aca="false">LEN(B24)</f>
        <v>29</v>
      </c>
      <c r="G24" s="1" t="n">
        <v>0</v>
      </c>
      <c r="H24" s="0" t="n">
        <v>4</v>
      </c>
      <c r="K24" s="0" t="s">
        <v>74</v>
      </c>
      <c r="L24" s="0" t="s">
        <v>75</v>
      </c>
    </row>
    <row r="25" customFormat="false" ht="15" hidden="false" customHeight="false" outlineLevel="0" collapsed="false">
      <c r="A25" s="1" t="s">
        <v>76</v>
      </c>
      <c r="B25" s="1" t="s">
        <v>77</v>
      </c>
      <c r="C25" s="1" t="str">
        <f aca="false">IF(G25=0,E25,B25)</f>
        <v>AUDITORÍA FISCAL</v>
      </c>
      <c r="D25" s="1" t="n">
        <f aca="false">LEN(C25)</f>
        <v>16</v>
      </c>
      <c r="E25" s="1" t="s">
        <v>77</v>
      </c>
      <c r="F25" s="1" t="n">
        <f aca="false">LEN(B25)</f>
        <v>16</v>
      </c>
      <c r="G25" s="1" t="n">
        <v>1</v>
      </c>
      <c r="H25" s="0" t="n">
        <v>4</v>
      </c>
      <c r="K25" s="0" t="s">
        <v>78</v>
      </c>
      <c r="L25" s="0" t="s">
        <v>79</v>
      </c>
    </row>
    <row r="26" customFormat="false" ht="15" hidden="false" customHeight="false" outlineLevel="0" collapsed="false">
      <c r="A26" s="1" t="s">
        <v>80</v>
      </c>
      <c r="B26" s="1" t="s">
        <v>81</v>
      </c>
      <c r="C26" s="1" t="str">
        <f aca="false">IF(G26=0,E26,B26)</f>
        <v>AUDITORÍA INFORMÁTICA</v>
      </c>
      <c r="D26" s="1" t="n">
        <f aca="false">LEN(C26)</f>
        <v>21</v>
      </c>
      <c r="E26" s="1" t="s">
        <v>81</v>
      </c>
      <c r="F26" s="1" t="n">
        <f aca="false">LEN(B26)</f>
        <v>21</v>
      </c>
      <c r="G26" s="1" t="n">
        <v>1</v>
      </c>
      <c r="H26" s="0" t="n">
        <v>3</v>
      </c>
      <c r="K26" s="0" t="s">
        <v>82</v>
      </c>
      <c r="L26" s="0" t="s">
        <v>83</v>
      </c>
    </row>
    <row r="27" customFormat="false" ht="15" hidden="false" customHeight="false" outlineLevel="0" collapsed="false">
      <c r="A27" s="1" t="s">
        <v>84</v>
      </c>
      <c r="B27" s="1" t="s">
        <v>55</v>
      </c>
      <c r="C27" s="1" t="str">
        <f aca="false">IF(G27=0,E27,B27)</f>
        <v>AUDI CAL EDUC</v>
      </c>
      <c r="D27" s="1" t="n">
        <f aca="false">LEN(C27)</f>
        <v>13</v>
      </c>
      <c r="E27" s="1" t="s">
        <v>56</v>
      </c>
      <c r="F27" s="1" t="n">
        <f aca="false">LEN(B27)</f>
        <v>29</v>
      </c>
      <c r="G27" s="1" t="n">
        <v>0</v>
      </c>
      <c r="K27" s="0" t="s">
        <v>85</v>
      </c>
      <c r="L27" s="0" t="s">
        <v>86</v>
      </c>
    </row>
    <row r="28" customFormat="false" ht="15" hidden="false" customHeight="false" outlineLevel="0" collapsed="false">
      <c r="A28" s="1" t="s">
        <v>87</v>
      </c>
      <c r="B28" s="1" t="s">
        <v>88</v>
      </c>
      <c r="C28" s="1" t="str">
        <f aca="false">IF(G28=0,E28,B28)</f>
        <v>AXIOLOGÍA EN LA DOCENCIA</v>
      </c>
      <c r="D28" s="1" t="n">
        <f aca="false">LEN(C28)</f>
        <v>24</v>
      </c>
      <c r="E28" s="1" t="s">
        <v>88</v>
      </c>
      <c r="F28" s="1" t="n">
        <f aca="false">LEN(B28)</f>
        <v>24</v>
      </c>
      <c r="G28" s="1" t="n">
        <v>1</v>
      </c>
      <c r="H28" s="0" t="n">
        <v>3</v>
      </c>
      <c r="K28" s="0" t="s">
        <v>89</v>
      </c>
      <c r="L28" s="0" t="s">
        <v>90</v>
      </c>
    </row>
    <row r="29" customFormat="false" ht="15" hidden="false" customHeight="false" outlineLevel="0" collapsed="false">
      <c r="A29" s="1" t="s">
        <v>91</v>
      </c>
      <c r="B29" s="1" t="s">
        <v>92</v>
      </c>
      <c r="C29" s="1" t="str">
        <f aca="false">IF(G29=0,E29,B29)</f>
        <v>BIENESTAR Y AUTOCUIDADO</v>
      </c>
      <c r="D29" s="1" t="n">
        <f aca="false">LEN(C29)</f>
        <v>23</v>
      </c>
      <c r="E29" s="1" t="s">
        <v>92</v>
      </c>
      <c r="F29" s="1" t="n">
        <f aca="false">LEN(B29)</f>
        <v>23</v>
      </c>
      <c r="G29" s="1" t="n">
        <v>1</v>
      </c>
      <c r="K29" s="0" t="s">
        <v>93</v>
      </c>
      <c r="L29" s="0" t="s">
        <v>94</v>
      </c>
    </row>
    <row r="30" customFormat="false" ht="15" hidden="false" customHeight="false" outlineLevel="0" collapsed="false">
      <c r="A30" s="7" t="s">
        <v>95</v>
      </c>
      <c r="B30" s="1" t="s">
        <v>96</v>
      </c>
      <c r="C30" s="1" t="str">
        <f aca="false">IF(G30=0,E30,B30)</f>
        <v>BIOGEOGRAFÍA</v>
      </c>
      <c r="D30" s="1" t="n">
        <f aca="false">LEN(C30)</f>
        <v>12</v>
      </c>
      <c r="E30" s="1" t="s">
        <v>96</v>
      </c>
      <c r="F30" s="1" t="n">
        <f aca="false">LEN(B30)</f>
        <v>12</v>
      </c>
      <c r="G30" s="1" t="n">
        <v>1</v>
      </c>
      <c r="K30" s="0" t="s">
        <v>97</v>
      </c>
      <c r="L30" s="0" t="s">
        <v>98</v>
      </c>
    </row>
    <row r="31" customFormat="false" ht="15" hidden="false" customHeight="false" outlineLevel="0" collapsed="false">
      <c r="A31" s="1" t="s">
        <v>99</v>
      </c>
      <c r="B31" s="1" t="s">
        <v>59</v>
      </c>
      <c r="C31" s="1" t="str">
        <f aca="false">IF(G31=0,E31,B31)</f>
        <v>BIOL GENE I TEORÍA LABO</v>
      </c>
      <c r="D31" s="1" t="n">
        <f aca="false">LEN(C31)</f>
        <v>23</v>
      </c>
      <c r="E31" s="1" t="s">
        <v>60</v>
      </c>
      <c r="F31" s="1" t="n">
        <f aca="false">LEN(B31)</f>
        <v>40</v>
      </c>
      <c r="G31" s="1" t="n">
        <v>0</v>
      </c>
      <c r="H31" s="0" t="n">
        <v>4</v>
      </c>
      <c r="K31" s="0" t="s">
        <v>100</v>
      </c>
      <c r="L31" s="0" t="s">
        <v>101</v>
      </c>
    </row>
    <row r="32" customFormat="false" ht="15" hidden="false" customHeight="false" outlineLevel="0" collapsed="false">
      <c r="A32" s="1" t="s">
        <v>102</v>
      </c>
      <c r="B32" s="1" t="s">
        <v>63</v>
      </c>
      <c r="C32" s="1" t="str">
        <f aca="false">IF(G32=0,E32,B32)</f>
        <v>BIOL GENE II TEORÍA LABO</v>
      </c>
      <c r="D32" s="1" t="n">
        <f aca="false">LEN(C32)</f>
        <v>24</v>
      </c>
      <c r="E32" s="1" t="s">
        <v>64</v>
      </c>
      <c r="F32" s="1" t="n">
        <f aca="false">LEN(B32)</f>
        <v>41</v>
      </c>
      <c r="G32" s="1" t="n">
        <v>0</v>
      </c>
      <c r="H32" s="0" t="n">
        <v>4</v>
      </c>
      <c r="K32" s="0" t="s">
        <v>100</v>
      </c>
      <c r="L32" s="0" t="s">
        <v>101</v>
      </c>
    </row>
    <row r="33" customFormat="false" ht="15" hidden="false" customHeight="false" outlineLevel="0" collapsed="false">
      <c r="A33" s="1" t="s">
        <v>103</v>
      </c>
      <c r="B33" s="1" t="s">
        <v>66</v>
      </c>
      <c r="C33" s="1" t="str">
        <f aca="false">IF(G33=0,E33,B33)</f>
        <v>BIOL MODE ENSE CIEN</v>
      </c>
      <c r="D33" s="1" t="n">
        <f aca="false">LEN(C33)</f>
        <v>19</v>
      </c>
      <c r="E33" s="1" t="s">
        <v>67</v>
      </c>
      <c r="F33" s="1" t="n">
        <f aca="false">LEN(B33)</f>
        <v>48</v>
      </c>
      <c r="G33" s="1" t="n">
        <v>0</v>
      </c>
      <c r="H33" s="0" t="n">
        <v>3</v>
      </c>
      <c r="K33" s="0" t="s">
        <v>104</v>
      </c>
      <c r="L33" s="0" t="s">
        <v>105</v>
      </c>
    </row>
    <row r="34" customFormat="false" ht="15" hidden="false" customHeight="false" outlineLevel="0" collapsed="false">
      <c r="A34" s="5" t="s">
        <v>106</v>
      </c>
      <c r="B34" s="1" t="s">
        <v>71</v>
      </c>
      <c r="C34" s="1" t="str">
        <f aca="false">IF(G34=0,E34,B34)</f>
        <v>CÁLC DIFE REPR</v>
      </c>
      <c r="D34" s="1" t="n">
        <f aca="false">LEN(C34)</f>
        <v>14</v>
      </c>
      <c r="E34" s="1" t="s">
        <v>72</v>
      </c>
      <c r="F34" s="1" t="n">
        <f aca="false">LEN(B34)</f>
        <v>38</v>
      </c>
      <c r="G34" s="1" t="n">
        <v>0</v>
      </c>
      <c r="H34" s="6" t="n">
        <v>3</v>
      </c>
      <c r="K34" s="0" t="s">
        <v>107</v>
      </c>
      <c r="L34" s="0" t="s">
        <v>108</v>
      </c>
    </row>
    <row r="35" customFormat="false" ht="15" hidden="false" customHeight="false" outlineLevel="0" collapsed="false">
      <c r="A35" s="5" t="s">
        <v>109</v>
      </c>
      <c r="B35" s="1" t="s">
        <v>74</v>
      </c>
      <c r="C35" s="1" t="str">
        <f aca="false">IF(G35=0,E35,B35)</f>
        <v>CÁLC INTE MODE MATE</v>
      </c>
      <c r="D35" s="1" t="n">
        <f aca="false">LEN(C35)</f>
        <v>19</v>
      </c>
      <c r="E35" s="1" t="s">
        <v>75</v>
      </c>
      <c r="F35" s="1" t="n">
        <f aca="false">LEN(B35)</f>
        <v>40</v>
      </c>
      <c r="G35" s="1" t="n">
        <v>0</v>
      </c>
      <c r="H35" s="6" t="n">
        <v>3</v>
      </c>
      <c r="K35" s="0" t="s">
        <v>110</v>
      </c>
      <c r="L35" s="0" t="s">
        <v>111</v>
      </c>
    </row>
    <row r="36" customFormat="false" ht="15" hidden="false" customHeight="false" outlineLevel="0" collapsed="false">
      <c r="A36" s="8" t="s">
        <v>112</v>
      </c>
      <c r="B36" s="1" t="s">
        <v>78</v>
      </c>
      <c r="C36" s="1" t="str">
        <f aca="false">IF(G36=0,E36,B36)</f>
        <v>CÁLC MULT APLI</v>
      </c>
      <c r="D36" s="1" t="n">
        <f aca="false">LEN(C36)</f>
        <v>14</v>
      </c>
      <c r="E36" s="1" t="s">
        <v>79</v>
      </c>
      <c r="F36" s="1" t="n">
        <f aca="false">LEN(B36)</f>
        <v>35</v>
      </c>
      <c r="G36" s="1" t="n">
        <v>0</v>
      </c>
      <c r="H36" s="6" t="n">
        <v>3</v>
      </c>
      <c r="K36" s="0" t="s">
        <v>113</v>
      </c>
      <c r="L36" s="0" t="s">
        <v>114</v>
      </c>
    </row>
    <row r="37" customFormat="false" ht="15" hidden="false" customHeight="false" outlineLevel="0" collapsed="false">
      <c r="A37" s="1" t="s">
        <v>115</v>
      </c>
      <c r="B37" s="1" t="s">
        <v>82</v>
      </c>
      <c r="C37" s="1" t="str">
        <f aca="false">IF(G37=0,E37,B37)</f>
        <v>CAL EDUC SIST PRÁC PEDA</v>
      </c>
      <c r="D37" s="1" t="n">
        <f aca="false">LEN(C37)</f>
        <v>23</v>
      </c>
      <c r="E37" s="1" t="s">
        <v>83</v>
      </c>
      <c r="F37" s="1" t="n">
        <f aca="false">LEN(B37)</f>
        <v>64</v>
      </c>
      <c r="G37" s="1" t="n">
        <v>0</v>
      </c>
      <c r="H37" s="0" t="n">
        <v>3</v>
      </c>
      <c r="K37" s="0" t="s">
        <v>116</v>
      </c>
      <c r="L37" s="0" t="s">
        <v>117</v>
      </c>
    </row>
    <row r="38" customFormat="false" ht="15" hidden="false" customHeight="false" outlineLevel="0" collapsed="false">
      <c r="A38" s="7" t="s">
        <v>118</v>
      </c>
      <c r="B38" s="1" t="s">
        <v>85</v>
      </c>
      <c r="C38" s="1" t="str">
        <f aca="false">IF(G38=0,E38,B38)</f>
        <v>CART GEOG MUND</v>
      </c>
      <c r="D38" s="1" t="n">
        <f aca="false">LEN(C38)</f>
        <v>14</v>
      </c>
      <c r="E38" s="1" t="s">
        <v>86</v>
      </c>
      <c r="F38" s="1" t="n">
        <f aca="false">LEN(B38)</f>
        <v>31</v>
      </c>
      <c r="G38" s="1" t="n">
        <v>0</v>
      </c>
      <c r="H38" s="6" t="n">
        <v>3</v>
      </c>
      <c r="I38" s="6"/>
      <c r="K38" s="0" t="s">
        <v>119</v>
      </c>
      <c r="L38" s="0" t="s">
        <v>120</v>
      </c>
    </row>
    <row r="39" customFormat="false" ht="15" hidden="false" customHeight="false" outlineLevel="0" collapsed="false">
      <c r="A39" s="1" t="s">
        <v>121</v>
      </c>
      <c r="B39" s="1" t="s">
        <v>89</v>
      </c>
      <c r="C39" s="1" t="str">
        <f aca="false">IF(G39=0,E39,B39)</f>
        <v>CIEN SOCI CONT</v>
      </c>
      <c r="D39" s="1" t="n">
        <f aca="false">LEN(C39)</f>
        <v>14</v>
      </c>
      <c r="E39" s="1" t="s">
        <v>90</v>
      </c>
      <c r="F39" s="1" t="n">
        <f aca="false">LEN(B39)</f>
        <v>28</v>
      </c>
      <c r="G39" s="1" t="n">
        <v>0</v>
      </c>
      <c r="H39" s="0" t="n">
        <v>3</v>
      </c>
      <c r="K39" s="0" t="s">
        <v>122</v>
      </c>
      <c r="L39" s="0" t="s">
        <v>123</v>
      </c>
    </row>
    <row r="40" customFormat="false" ht="15" hidden="false" customHeight="false" outlineLevel="0" collapsed="false">
      <c r="A40" s="1" t="s">
        <v>124</v>
      </c>
      <c r="B40" s="1" t="s">
        <v>93</v>
      </c>
      <c r="C40" s="1" t="str">
        <f aca="false">IF(G40=0,E40,B40)</f>
        <v>CIEN TECN PROS EDUC CIEN</v>
      </c>
      <c r="D40" s="1" t="n">
        <f aca="false">LEN(C40)</f>
        <v>24</v>
      </c>
      <c r="E40" s="1" t="s">
        <v>94</v>
      </c>
      <c r="F40" s="1" t="n">
        <f aca="false">LEN(B40)</f>
        <v>57</v>
      </c>
      <c r="G40" s="1" t="n">
        <v>0</v>
      </c>
      <c r="K40" s="0" t="s">
        <v>125</v>
      </c>
      <c r="L40" s="0" t="s">
        <v>126</v>
      </c>
    </row>
    <row r="41" customFormat="false" ht="15" hidden="false" customHeight="false" outlineLevel="0" collapsed="false">
      <c r="A41" s="7" t="s">
        <v>127</v>
      </c>
      <c r="B41" s="1" t="s">
        <v>97</v>
      </c>
      <c r="C41" s="1" t="str">
        <f aca="false">IF(G41=0,E41,B41)</f>
        <v>CIEN STEAM I II CICLOS</v>
      </c>
      <c r="D41" s="1" t="n">
        <f aca="false">LEN(C41)</f>
        <v>22</v>
      </c>
      <c r="E41" s="1" t="s">
        <v>98</v>
      </c>
      <c r="F41" s="1" t="n">
        <f aca="false">LEN(B41)</f>
        <v>35</v>
      </c>
      <c r="G41" s="1" t="n">
        <v>0</v>
      </c>
      <c r="H41" s="6" t="n">
        <v>3</v>
      </c>
      <c r="K41" s="0" t="s">
        <v>128</v>
      </c>
      <c r="L41" s="0" t="s">
        <v>129</v>
      </c>
    </row>
    <row r="42" customFormat="false" ht="15" hidden="false" customHeight="false" outlineLevel="0" collapsed="false">
      <c r="A42" s="4" t="s">
        <v>130</v>
      </c>
      <c r="B42" s="1" t="s">
        <v>100</v>
      </c>
      <c r="C42" s="1" t="str">
        <f aca="false">IF(G42=0,E42,B42)</f>
        <v>COLA INTE PROC CADENA SUMI</v>
      </c>
      <c r="D42" s="1" t="n">
        <f aca="false">LEN(C42)</f>
        <v>26</v>
      </c>
      <c r="E42" s="1" t="s">
        <v>101</v>
      </c>
      <c r="F42" s="1" t="n">
        <f aca="false">LEN(B42)</f>
        <v>67</v>
      </c>
      <c r="G42" s="1" t="n">
        <v>0</v>
      </c>
      <c r="K42" s="0" t="s">
        <v>131</v>
      </c>
      <c r="L42" s="0" t="s">
        <v>132</v>
      </c>
    </row>
    <row r="43" customFormat="false" ht="15" hidden="false" customHeight="false" outlineLevel="0" collapsed="false">
      <c r="A43" s="12" t="s">
        <v>133</v>
      </c>
      <c r="B43" s="1" t="s">
        <v>100</v>
      </c>
      <c r="C43" s="1" t="str">
        <f aca="false">IF(G43=0,E43,B43)</f>
        <v>COLA INTE PROC CADENA SUMI</v>
      </c>
      <c r="D43" s="1" t="n">
        <f aca="false">LEN(C43)</f>
        <v>26</v>
      </c>
      <c r="E43" s="1" t="s">
        <v>101</v>
      </c>
      <c r="F43" s="1" t="n">
        <f aca="false">LEN(B43)</f>
        <v>67</v>
      </c>
      <c r="G43" s="1" t="n">
        <v>0</v>
      </c>
      <c r="K43" s="0" t="s">
        <v>134</v>
      </c>
      <c r="L43" s="0" t="s">
        <v>135</v>
      </c>
    </row>
    <row r="44" customFormat="false" ht="15" hidden="false" customHeight="false" outlineLevel="0" collapsed="false">
      <c r="A44" s="1" t="s">
        <v>136</v>
      </c>
      <c r="B44" s="1" t="s">
        <v>104</v>
      </c>
      <c r="C44" s="1" t="str">
        <f aca="false">IF(G44=0,E44,B44)</f>
        <v>COMP ESTÁ INT CURR</v>
      </c>
      <c r="D44" s="1" t="n">
        <f aca="false">LEN(C44)</f>
        <v>18</v>
      </c>
      <c r="E44" s="1" t="s">
        <v>105</v>
      </c>
      <c r="F44" s="1" t="n">
        <f aca="false">LEN(B44)</f>
        <v>57</v>
      </c>
      <c r="G44" s="1" t="n">
        <v>0</v>
      </c>
      <c r="K44" s="0" t="s">
        <v>137</v>
      </c>
      <c r="L44" s="0" t="s">
        <v>138</v>
      </c>
    </row>
    <row r="45" customFormat="false" ht="15" hidden="false" customHeight="false" outlineLevel="0" collapsed="false">
      <c r="A45" s="1" t="s">
        <v>139</v>
      </c>
      <c r="B45" s="1" t="s">
        <v>107</v>
      </c>
      <c r="C45" s="1" t="str">
        <f aca="false">IF(G45=0,E45,B45)</f>
        <v>COMP HUMANO PSIC LABO</v>
      </c>
      <c r="D45" s="1" t="n">
        <f aca="false">LEN(C45)</f>
        <v>21</v>
      </c>
      <c r="E45" s="1" t="s">
        <v>108</v>
      </c>
      <c r="F45" s="1" t="n">
        <f aca="false">LEN(B45)</f>
        <v>42</v>
      </c>
      <c r="G45" s="1" t="n">
        <v>0</v>
      </c>
      <c r="H45" s="0" t="n">
        <v>3</v>
      </c>
      <c r="K45" s="0" t="s">
        <v>140</v>
      </c>
      <c r="L45" s="0" t="s">
        <v>141</v>
      </c>
    </row>
    <row r="46" customFormat="false" ht="15" hidden="false" customHeight="false" outlineLevel="0" collapsed="false">
      <c r="A46" s="1" t="s">
        <v>142</v>
      </c>
      <c r="B46" s="1" t="s">
        <v>110</v>
      </c>
      <c r="C46" s="1" t="str">
        <f aca="false">IF(G46=0,E46,B46)</f>
        <v>COMP ORGA</v>
      </c>
      <c r="D46" s="1" t="n">
        <f aca="false">LEN(C46)</f>
        <v>9</v>
      </c>
      <c r="E46" s="1" t="s">
        <v>111</v>
      </c>
      <c r="F46" s="1" t="n">
        <f aca="false">LEN(B46)</f>
        <v>29</v>
      </c>
      <c r="G46" s="1" t="n">
        <v>0</v>
      </c>
      <c r="H46" s="0" t="n">
        <v>3</v>
      </c>
      <c r="K46" s="0" t="s">
        <v>143</v>
      </c>
      <c r="L46" s="0" t="s">
        <v>144</v>
      </c>
    </row>
    <row r="47" customFormat="false" ht="15" hidden="false" customHeight="false" outlineLevel="0" collapsed="false">
      <c r="A47" s="7" t="s">
        <v>145</v>
      </c>
      <c r="B47" s="1" t="s">
        <v>113</v>
      </c>
      <c r="C47" s="1" t="str">
        <f aca="false">IF(G47=0,E47,B47)</f>
        <v>COMP LECT PROD ESCR</v>
      </c>
      <c r="D47" s="1" t="n">
        <f aca="false">LEN(C47)</f>
        <v>19</v>
      </c>
      <c r="E47" s="1" t="s">
        <v>114</v>
      </c>
      <c r="F47" s="1" t="n">
        <f aca="false">LEN(B47)</f>
        <v>39</v>
      </c>
      <c r="G47" s="1" t="n">
        <v>0</v>
      </c>
      <c r="H47" s="6" t="n">
        <v>3</v>
      </c>
      <c r="K47" s="0" t="s">
        <v>146</v>
      </c>
      <c r="L47" s="0" t="s">
        <v>147</v>
      </c>
    </row>
    <row r="48" customFormat="false" ht="15" hidden="false" customHeight="false" outlineLevel="0" collapsed="false">
      <c r="A48" s="1" t="s">
        <v>148</v>
      </c>
      <c r="B48" s="1" t="s">
        <v>149</v>
      </c>
      <c r="C48" s="1" t="str">
        <f aca="false">IF(G48=0,E48,B48)</f>
        <v>COMUNICACIÓN ESTRATÉGICA</v>
      </c>
      <c r="D48" s="1" t="n">
        <f aca="false">LEN(C48)</f>
        <v>24</v>
      </c>
      <c r="E48" s="1" t="s">
        <v>149</v>
      </c>
      <c r="F48" s="1" t="n">
        <f aca="false">LEN(B48)</f>
        <v>24</v>
      </c>
      <c r="G48" s="1" t="n">
        <v>1</v>
      </c>
      <c r="K48" s="0" t="s">
        <v>150</v>
      </c>
      <c r="L48" s="0" t="s">
        <v>151</v>
      </c>
    </row>
    <row r="49" customFormat="false" ht="15" hidden="false" customHeight="false" outlineLevel="0" collapsed="false">
      <c r="A49" s="1" t="s">
        <v>152</v>
      </c>
      <c r="B49" s="1" t="s">
        <v>153</v>
      </c>
      <c r="C49" s="1" t="str">
        <f aca="false">IF(G49=0,E49,B49)</f>
        <v>COMUNICACIÓN POLÍTICA</v>
      </c>
      <c r="D49" s="1" t="n">
        <f aca="false">LEN(C49)</f>
        <v>21</v>
      </c>
      <c r="E49" s="1" t="s">
        <v>153</v>
      </c>
      <c r="F49" s="1" t="n">
        <f aca="false">LEN(B49)</f>
        <v>21</v>
      </c>
      <c r="G49" s="1" t="n">
        <v>1</v>
      </c>
      <c r="K49" s="0" t="s">
        <v>154</v>
      </c>
      <c r="L49" s="0" t="s">
        <v>155</v>
      </c>
    </row>
    <row r="50" customFormat="false" ht="15" hidden="false" customHeight="false" outlineLevel="0" collapsed="false">
      <c r="A50" s="1" t="s">
        <v>156</v>
      </c>
      <c r="B50" s="1" t="s">
        <v>116</v>
      </c>
      <c r="C50" s="1" t="str">
        <f aca="false">IF(G50=0,E50,B50)</f>
        <v>COMU DIVU ESTRAT DATOS</v>
      </c>
      <c r="D50" s="1" t="n">
        <f aca="false">LEN(C50)</f>
        <v>22</v>
      </c>
      <c r="E50" s="1" t="s">
        <v>117</v>
      </c>
      <c r="F50" s="1" t="n">
        <f aca="false">LEN(B50)</f>
        <v>47</v>
      </c>
      <c r="G50" s="1" t="n">
        <v>0</v>
      </c>
      <c r="H50" s="0" t="n">
        <v>3</v>
      </c>
      <c r="K50" s="0" t="s">
        <v>157</v>
      </c>
      <c r="L50" s="0" t="s">
        <v>158</v>
      </c>
    </row>
    <row r="51" customFormat="false" ht="15" hidden="false" customHeight="false" outlineLevel="0" collapsed="false">
      <c r="A51" s="1" t="s">
        <v>159</v>
      </c>
      <c r="B51" s="1" t="s">
        <v>160</v>
      </c>
      <c r="C51" s="1" t="str">
        <f aca="false">IF(G51=0,E51,B51)</f>
        <v>CONDUCTA DEL CONSUMIDOR</v>
      </c>
      <c r="D51" s="1" t="n">
        <f aca="false">LEN(C51)</f>
        <v>23</v>
      </c>
      <c r="E51" s="1" t="s">
        <v>160</v>
      </c>
      <c r="F51" s="1" t="n">
        <f aca="false">LEN(B51)</f>
        <v>23</v>
      </c>
      <c r="G51" s="1" t="n">
        <v>1</v>
      </c>
      <c r="H51" s="0" t="n">
        <v>4</v>
      </c>
      <c r="K51" s="0" t="s">
        <v>161</v>
      </c>
      <c r="L51" s="0" t="s">
        <v>162</v>
      </c>
    </row>
    <row r="52" customFormat="false" ht="15" hidden="false" customHeight="false" outlineLevel="0" collapsed="false">
      <c r="A52" s="1" t="s">
        <v>163</v>
      </c>
      <c r="B52" s="1" t="s">
        <v>119</v>
      </c>
      <c r="C52" s="1" t="str">
        <f aca="false">IF(G52=0,E52,B52)</f>
        <v>CONT FINA PYMES</v>
      </c>
      <c r="D52" s="1" t="n">
        <f aca="false">LEN(C52)</f>
        <v>15</v>
      </c>
      <c r="E52" s="1" t="s">
        <v>120</v>
      </c>
      <c r="F52" s="1" t="n">
        <f aca="false">LEN(B52)</f>
        <v>34</v>
      </c>
      <c r="G52" s="1" t="n">
        <v>0</v>
      </c>
      <c r="H52" s="0" t="n">
        <v>3</v>
      </c>
      <c r="K52" s="0" t="s">
        <v>164</v>
      </c>
      <c r="L52" s="0" t="s">
        <v>165</v>
      </c>
    </row>
    <row r="53" customFormat="false" ht="15" hidden="false" customHeight="false" outlineLevel="0" collapsed="false">
      <c r="A53" s="1" t="s">
        <v>166</v>
      </c>
      <c r="B53" s="1" t="s">
        <v>122</v>
      </c>
      <c r="C53" s="1" t="str">
        <f aca="false">IF(G53=0,E53,B53)</f>
        <v>CONT SERV AL CLIE</v>
      </c>
      <c r="D53" s="1" t="n">
        <f aca="false">LEN(C53)</f>
        <v>17</v>
      </c>
      <c r="E53" s="1" t="s">
        <v>123</v>
      </c>
      <c r="F53" s="1" t="n">
        <f aca="false">LEN(B53)</f>
        <v>34</v>
      </c>
      <c r="G53" s="1" t="n">
        <v>0</v>
      </c>
      <c r="H53" s="0" t="n">
        <v>4</v>
      </c>
      <c r="K53" s="0" t="s">
        <v>167</v>
      </c>
      <c r="L53" s="0" t="s">
        <v>168</v>
      </c>
    </row>
    <row r="54" customFormat="false" ht="15" hidden="false" customHeight="false" outlineLevel="0" collapsed="false">
      <c r="A54" s="1" t="s">
        <v>169</v>
      </c>
      <c r="B54" s="1" t="s">
        <v>170</v>
      </c>
      <c r="C54" s="1" t="str">
        <f aca="false">IF(G54=0,E54,B54)</f>
        <v>COSMOGRAFÍA</v>
      </c>
      <c r="D54" s="1" t="n">
        <f aca="false">LEN(C54)</f>
        <v>11</v>
      </c>
      <c r="E54" s="1" t="s">
        <v>170</v>
      </c>
      <c r="F54" s="1" t="n">
        <f aca="false">LEN(B54)</f>
        <v>11</v>
      </c>
      <c r="G54" s="1" t="n">
        <v>1</v>
      </c>
      <c r="H54" s="0" t="n">
        <v>3</v>
      </c>
      <c r="K54" s="0" t="s">
        <v>171</v>
      </c>
      <c r="L54" s="0" t="s">
        <v>172</v>
      </c>
    </row>
    <row r="55" customFormat="false" ht="15" hidden="false" customHeight="false" outlineLevel="0" collapsed="false">
      <c r="A55" s="7" t="s">
        <v>173</v>
      </c>
      <c r="B55" s="1" t="s">
        <v>125</v>
      </c>
      <c r="C55" s="1" t="str">
        <f aca="false">IF(G55=0,E55,B55)</f>
        <v>COSTA RICA HIST SOCI CAMBIO</v>
      </c>
      <c r="D55" s="1" t="n">
        <f aca="false">LEN(C55)</f>
        <v>27</v>
      </c>
      <c r="E55" s="1" t="s">
        <v>126</v>
      </c>
      <c r="F55" s="1" t="n">
        <f aca="false">LEN(B55)</f>
        <v>53</v>
      </c>
      <c r="G55" s="1" t="n">
        <v>0</v>
      </c>
      <c r="H55" s="6" t="n">
        <v>3</v>
      </c>
      <c r="K55" s="0" t="s">
        <v>174</v>
      </c>
      <c r="L55" s="0" t="s">
        <v>175</v>
      </c>
    </row>
    <row r="56" customFormat="false" ht="15" hidden="false" customHeight="false" outlineLevel="0" collapsed="false">
      <c r="A56" s="4" t="s">
        <v>176</v>
      </c>
      <c r="B56" s="1" t="s">
        <v>177</v>
      </c>
      <c r="C56" s="1" t="str">
        <f aca="false">IF(G56=0,E56,B56)</f>
        <v>COSTOS INDUSTRIALES</v>
      </c>
      <c r="D56" s="1" t="n">
        <f aca="false">LEN(C56)</f>
        <v>19</v>
      </c>
      <c r="E56" s="1" t="s">
        <v>177</v>
      </c>
      <c r="F56" s="1" t="n">
        <f aca="false">LEN(B56)</f>
        <v>19</v>
      </c>
      <c r="G56" s="1" t="n">
        <v>1</v>
      </c>
      <c r="K56" s="0" t="s">
        <v>178</v>
      </c>
      <c r="L56" s="0" t="s">
        <v>179</v>
      </c>
    </row>
    <row r="57" customFormat="false" ht="15" hidden="false" customHeight="false" outlineLevel="0" collapsed="false">
      <c r="A57" s="2" t="s">
        <v>180</v>
      </c>
      <c r="B57" s="1" t="s">
        <v>177</v>
      </c>
      <c r="C57" s="1" t="str">
        <f aca="false">IF(G57=0,E57,B57)</f>
        <v>COSTOS INDUSTRIALES</v>
      </c>
      <c r="D57" s="1" t="n">
        <f aca="false">LEN(C57)</f>
        <v>19</v>
      </c>
      <c r="E57" s="1" t="s">
        <v>177</v>
      </c>
      <c r="F57" s="1" t="n">
        <f aca="false">LEN(B57)</f>
        <v>19</v>
      </c>
      <c r="G57" s="1" t="n">
        <v>1</v>
      </c>
      <c r="K57" s="0" t="s">
        <v>181</v>
      </c>
      <c r="L57" s="0" t="s">
        <v>182</v>
      </c>
    </row>
    <row r="58" customFormat="false" ht="15" hidden="false" customHeight="false" outlineLevel="0" collapsed="false">
      <c r="A58" s="1" t="s">
        <v>183</v>
      </c>
      <c r="B58" s="1" t="s">
        <v>128</v>
      </c>
      <c r="C58" s="1" t="str">
        <f aca="false">IF(G58=0,E58,B58)</f>
        <v>CULT ORGA PROC CAMBIO</v>
      </c>
      <c r="D58" s="1" t="n">
        <f aca="false">LEN(C58)</f>
        <v>21</v>
      </c>
      <c r="E58" s="1" t="s">
        <v>129</v>
      </c>
      <c r="F58" s="1" t="n">
        <f aca="false">LEN(B58)</f>
        <v>43</v>
      </c>
      <c r="G58" s="1" t="n">
        <v>0</v>
      </c>
      <c r="H58" s="0" t="n">
        <v>4</v>
      </c>
      <c r="K58" s="0" t="s">
        <v>184</v>
      </c>
      <c r="L58" s="0" t="s">
        <v>185</v>
      </c>
    </row>
    <row r="59" customFormat="false" ht="15" hidden="false" customHeight="false" outlineLevel="0" collapsed="false">
      <c r="A59" s="1" t="s">
        <v>186</v>
      </c>
      <c r="B59" s="1" t="s">
        <v>187</v>
      </c>
      <c r="C59" s="1" t="str">
        <f aca="false">IF(G59=0,E59,B59)</f>
        <v>CURRÍCULO POR COMPETENCIAS</v>
      </c>
      <c r="D59" s="1" t="n">
        <f aca="false">LEN(C59)</f>
        <v>26</v>
      </c>
      <c r="E59" s="1" t="s">
        <v>187</v>
      </c>
      <c r="F59" s="1" t="n">
        <f aca="false">LEN(B59)</f>
        <v>26</v>
      </c>
      <c r="G59" s="1" t="n">
        <v>1</v>
      </c>
      <c r="K59" s="0" t="s">
        <v>188</v>
      </c>
      <c r="L59" s="0" t="s">
        <v>189</v>
      </c>
    </row>
    <row r="60" customFormat="false" ht="15" hidden="false" customHeight="false" outlineLevel="0" collapsed="false">
      <c r="A60" s="9" t="s">
        <v>190</v>
      </c>
      <c r="B60" s="1" t="s">
        <v>191</v>
      </c>
      <c r="C60" s="1" t="str">
        <f aca="false">IF(G60=0,E60,B60)</f>
        <v>DERECHO ADMINISTRATIVO I</v>
      </c>
      <c r="D60" s="1" t="n">
        <f aca="false">LEN(C60)</f>
        <v>24</v>
      </c>
      <c r="E60" s="1" t="s">
        <v>191</v>
      </c>
      <c r="F60" s="1" t="n">
        <f aca="false">LEN(B60)</f>
        <v>24</v>
      </c>
      <c r="G60" s="1" t="n">
        <v>1</v>
      </c>
      <c r="H60" s="10" t="n">
        <v>3</v>
      </c>
      <c r="K60" s="0" t="s">
        <v>192</v>
      </c>
      <c r="L60" s="0" t="s">
        <v>193</v>
      </c>
    </row>
    <row r="61" customFormat="false" ht="15" hidden="false" customHeight="false" outlineLevel="0" collapsed="false">
      <c r="A61" s="9" t="s">
        <v>194</v>
      </c>
      <c r="B61" s="1" t="s">
        <v>195</v>
      </c>
      <c r="C61" s="1" t="str">
        <f aca="false">IF(G61=0,E61,B61)</f>
        <v>DERECHO ADMINISTRATIVO II</v>
      </c>
      <c r="D61" s="1" t="n">
        <f aca="false">LEN(C61)</f>
        <v>25</v>
      </c>
      <c r="E61" s="1" t="s">
        <v>195</v>
      </c>
      <c r="F61" s="1" t="n">
        <f aca="false">LEN(B61)</f>
        <v>25</v>
      </c>
      <c r="G61" s="1" t="n">
        <v>1</v>
      </c>
      <c r="H61" s="10" t="n">
        <v>3</v>
      </c>
      <c r="K61" s="0" t="s">
        <v>196</v>
      </c>
      <c r="L61" s="0" t="s">
        <v>197</v>
      </c>
    </row>
    <row r="62" customFormat="false" ht="15" hidden="false" customHeight="false" outlineLevel="0" collapsed="false">
      <c r="A62" s="9" t="s">
        <v>198</v>
      </c>
      <c r="B62" s="1" t="s">
        <v>199</v>
      </c>
      <c r="C62" s="1" t="str">
        <f aca="false">IF(G62=0,E62,B62)</f>
        <v>DERECHO AGRARIO Y AMBIENTAL</v>
      </c>
      <c r="D62" s="1" t="n">
        <f aca="false">LEN(C62)</f>
        <v>27</v>
      </c>
      <c r="E62" s="1" t="s">
        <v>199</v>
      </c>
      <c r="F62" s="1" t="n">
        <f aca="false">LEN(B62)</f>
        <v>27</v>
      </c>
      <c r="G62" s="1" t="n">
        <v>1</v>
      </c>
      <c r="H62" s="10" t="n">
        <v>3</v>
      </c>
      <c r="K62" s="0" t="s">
        <v>200</v>
      </c>
      <c r="L62" s="0" t="s">
        <v>201</v>
      </c>
    </row>
    <row r="63" customFormat="false" ht="15" hidden="false" customHeight="false" outlineLevel="0" collapsed="false">
      <c r="A63" s="9" t="s">
        <v>202</v>
      </c>
      <c r="B63" s="1" t="s">
        <v>203</v>
      </c>
      <c r="C63" s="1" t="str">
        <f aca="false">IF(G63=0,E63,B63)</f>
        <v>DERECHO COMERCIAL I</v>
      </c>
      <c r="D63" s="1" t="n">
        <f aca="false">LEN(C63)</f>
        <v>19</v>
      </c>
      <c r="E63" s="1" t="s">
        <v>203</v>
      </c>
      <c r="F63" s="1" t="n">
        <f aca="false">LEN(B63)</f>
        <v>19</v>
      </c>
      <c r="G63" s="1" t="n">
        <v>1</v>
      </c>
      <c r="H63" s="10" t="n">
        <v>3</v>
      </c>
      <c r="K63" s="0" t="s">
        <v>204</v>
      </c>
      <c r="L63" s="0" t="s">
        <v>205</v>
      </c>
    </row>
    <row r="64" customFormat="false" ht="15" hidden="false" customHeight="false" outlineLevel="0" collapsed="false">
      <c r="A64" s="9" t="s">
        <v>206</v>
      </c>
      <c r="B64" s="1" t="s">
        <v>207</v>
      </c>
      <c r="C64" s="1" t="str">
        <f aca="false">IF(G64=0,E64,B64)</f>
        <v>DERECHO COMERCIAL II</v>
      </c>
      <c r="D64" s="1" t="n">
        <f aca="false">LEN(C64)</f>
        <v>20</v>
      </c>
      <c r="E64" s="1" t="s">
        <v>207</v>
      </c>
      <c r="F64" s="1" t="n">
        <f aca="false">LEN(B64)</f>
        <v>20</v>
      </c>
      <c r="G64" s="1" t="n">
        <v>1</v>
      </c>
      <c r="H64" s="10" t="n">
        <v>4</v>
      </c>
      <c r="K64" s="0" t="s">
        <v>208</v>
      </c>
      <c r="L64" s="0" t="s">
        <v>209</v>
      </c>
    </row>
    <row r="65" customFormat="false" ht="15" hidden="false" customHeight="false" outlineLevel="0" collapsed="false">
      <c r="A65" s="9" t="s">
        <v>210</v>
      </c>
      <c r="B65" s="1" t="s">
        <v>211</v>
      </c>
      <c r="C65" s="1" t="str">
        <f aca="false">IF(G65=0,E65,B65)</f>
        <v>DERECHO CONCURSAL</v>
      </c>
      <c r="D65" s="1" t="n">
        <f aca="false">LEN(C65)</f>
        <v>17</v>
      </c>
      <c r="E65" s="1" t="s">
        <v>211</v>
      </c>
      <c r="F65" s="1" t="n">
        <f aca="false">LEN(B65)</f>
        <v>17</v>
      </c>
      <c r="G65" s="1" t="n">
        <v>1</v>
      </c>
      <c r="H65" s="10" t="n">
        <v>3</v>
      </c>
      <c r="K65" s="0" t="s">
        <v>212</v>
      </c>
      <c r="L65" s="0" t="s">
        <v>213</v>
      </c>
    </row>
    <row r="66" customFormat="false" ht="15" hidden="false" customHeight="false" outlineLevel="0" collapsed="false">
      <c r="A66" s="9" t="s">
        <v>214</v>
      </c>
      <c r="B66" s="1" t="s">
        <v>215</v>
      </c>
      <c r="C66" s="1" t="str">
        <f aca="false">IF(G66=0,E66,B66)</f>
        <v>DERECHO CONSTITUCIONAL I</v>
      </c>
      <c r="D66" s="1" t="n">
        <f aca="false">LEN(C66)</f>
        <v>24</v>
      </c>
      <c r="E66" s="1" t="s">
        <v>215</v>
      </c>
      <c r="F66" s="1" t="n">
        <f aca="false">LEN(B66)</f>
        <v>24</v>
      </c>
      <c r="G66" s="1" t="n">
        <v>1</v>
      </c>
      <c r="H66" s="10" t="n">
        <v>3</v>
      </c>
      <c r="K66" s="0" t="s">
        <v>216</v>
      </c>
      <c r="L66" s="0" t="s">
        <v>217</v>
      </c>
    </row>
    <row r="67" customFormat="false" ht="15" hidden="false" customHeight="false" outlineLevel="0" collapsed="false">
      <c r="A67" s="9" t="s">
        <v>218</v>
      </c>
      <c r="B67" s="1" t="s">
        <v>219</v>
      </c>
      <c r="C67" s="1" t="str">
        <f aca="false">IF(G67=0,E67,B67)</f>
        <v>DERECHO CONSTITUCIONAL II</v>
      </c>
      <c r="D67" s="1" t="n">
        <f aca="false">LEN(C67)</f>
        <v>25</v>
      </c>
      <c r="E67" s="1" t="s">
        <v>219</v>
      </c>
      <c r="F67" s="1" t="n">
        <f aca="false">LEN(B67)</f>
        <v>25</v>
      </c>
      <c r="G67" s="1" t="n">
        <v>1</v>
      </c>
      <c r="H67" s="10" t="n">
        <v>3</v>
      </c>
      <c r="K67" s="0" t="s">
        <v>220</v>
      </c>
      <c r="L67" s="0" t="s">
        <v>221</v>
      </c>
    </row>
    <row r="68" customFormat="false" ht="15" hidden="false" customHeight="false" outlineLevel="0" collapsed="false">
      <c r="A68" s="9" t="s">
        <v>222</v>
      </c>
      <c r="B68" s="1" t="s">
        <v>223</v>
      </c>
      <c r="C68" s="1" t="str">
        <f aca="false">IF(G68=0,E68,B68)</f>
        <v>DERECHO DE FAMILIA I</v>
      </c>
      <c r="D68" s="1" t="n">
        <f aca="false">LEN(C68)</f>
        <v>20</v>
      </c>
      <c r="E68" s="1" t="s">
        <v>223</v>
      </c>
      <c r="F68" s="1" t="n">
        <f aca="false">LEN(B68)</f>
        <v>20</v>
      </c>
      <c r="G68" s="1" t="n">
        <v>1</v>
      </c>
      <c r="H68" s="10" t="n">
        <v>3</v>
      </c>
      <c r="K68" s="0" t="s">
        <v>224</v>
      </c>
      <c r="L68" s="0" t="s">
        <v>225</v>
      </c>
    </row>
    <row r="69" customFormat="false" ht="15" hidden="false" customHeight="false" outlineLevel="0" collapsed="false">
      <c r="A69" s="9" t="s">
        <v>226</v>
      </c>
      <c r="B69" s="1" t="s">
        <v>227</v>
      </c>
      <c r="C69" s="1" t="str">
        <f aca="false">IF(G69=0,E69,B69)</f>
        <v>DERECHO DE FAMILIA II</v>
      </c>
      <c r="D69" s="1" t="n">
        <f aca="false">LEN(C69)</f>
        <v>21</v>
      </c>
      <c r="E69" s="1" t="s">
        <v>227</v>
      </c>
      <c r="F69" s="1" t="n">
        <f aca="false">LEN(B69)</f>
        <v>21</v>
      </c>
      <c r="G69" s="1" t="n">
        <v>1</v>
      </c>
      <c r="H69" s="10" t="n">
        <v>3</v>
      </c>
      <c r="K69" s="0" t="s">
        <v>228</v>
      </c>
      <c r="L69" s="0" t="s">
        <v>229</v>
      </c>
    </row>
    <row r="70" customFormat="false" ht="15" hidden="false" customHeight="false" outlineLevel="0" collapsed="false">
      <c r="A70" s="9" t="s">
        <v>230</v>
      </c>
      <c r="B70" s="1" t="s">
        <v>131</v>
      </c>
      <c r="C70" s="1" t="str">
        <f aca="false">IF(G70=0,E70,B70)</f>
        <v>DERE OBLI I</v>
      </c>
      <c r="D70" s="1" t="n">
        <f aca="false">LEN(C70)</f>
        <v>11</v>
      </c>
      <c r="E70" s="1" t="s">
        <v>132</v>
      </c>
      <c r="F70" s="1" t="n">
        <f aca="false">LEN(B70)</f>
        <v>29</v>
      </c>
      <c r="G70" s="1" t="n">
        <v>0</v>
      </c>
      <c r="H70" s="10" t="n">
        <v>3</v>
      </c>
      <c r="K70" s="0" t="s">
        <v>231</v>
      </c>
      <c r="L70" s="0" t="s">
        <v>232</v>
      </c>
    </row>
    <row r="71" customFormat="false" ht="15" hidden="false" customHeight="false" outlineLevel="0" collapsed="false">
      <c r="A71" s="9" t="s">
        <v>233</v>
      </c>
      <c r="B71" s="1" t="s">
        <v>134</v>
      </c>
      <c r="C71" s="1" t="str">
        <f aca="false">IF(G71=0,E71,B71)</f>
        <v>DERE OBLI II</v>
      </c>
      <c r="D71" s="1" t="n">
        <f aca="false">LEN(C71)</f>
        <v>12</v>
      </c>
      <c r="E71" s="1" t="s">
        <v>135</v>
      </c>
      <c r="F71" s="1" t="n">
        <f aca="false">LEN(B71)</f>
        <v>30</v>
      </c>
      <c r="G71" s="1" t="n">
        <v>0</v>
      </c>
      <c r="H71" s="10" t="n">
        <v>3</v>
      </c>
      <c r="K71" s="0" t="s">
        <v>234</v>
      </c>
      <c r="L71" s="0" t="s">
        <v>235</v>
      </c>
    </row>
    <row r="72" customFormat="false" ht="15" hidden="false" customHeight="false" outlineLevel="0" collapsed="false">
      <c r="A72" s="9" t="s">
        <v>236</v>
      </c>
      <c r="B72" s="1" t="s">
        <v>137</v>
      </c>
      <c r="C72" s="1" t="str">
        <f aca="false">IF(G72=0,E72,B72)</f>
        <v>DERE CONT CIVI</v>
      </c>
      <c r="D72" s="1" t="n">
        <f aca="false">LEN(C72)</f>
        <v>14</v>
      </c>
      <c r="E72" s="1" t="s">
        <v>138</v>
      </c>
      <c r="F72" s="1" t="n">
        <f aca="false">LEN(B72)</f>
        <v>32</v>
      </c>
      <c r="G72" s="1" t="n">
        <v>0</v>
      </c>
      <c r="H72" s="10" t="n">
        <v>3</v>
      </c>
      <c r="K72" s="0" t="s">
        <v>237</v>
      </c>
      <c r="L72" s="0" t="s">
        <v>238</v>
      </c>
    </row>
    <row r="73" customFormat="false" ht="15" hidden="false" customHeight="false" outlineLevel="0" collapsed="false">
      <c r="A73" s="9" t="s">
        <v>239</v>
      </c>
      <c r="B73" s="1" t="s">
        <v>140</v>
      </c>
      <c r="C73" s="1" t="str">
        <f aca="false">IF(G73=0,E73,B73)</f>
        <v>DERE CONT MERC</v>
      </c>
      <c r="D73" s="1" t="n">
        <f aca="false">LEN(C73)</f>
        <v>14</v>
      </c>
      <c r="E73" s="1" t="s">
        <v>141</v>
      </c>
      <c r="F73" s="1" t="n">
        <f aca="false">LEN(B73)</f>
        <v>36</v>
      </c>
      <c r="G73" s="1" t="n">
        <v>0</v>
      </c>
      <c r="H73" s="10" t="n">
        <v>3</v>
      </c>
      <c r="K73" s="0" t="s">
        <v>240</v>
      </c>
      <c r="L73" s="0" t="s">
        <v>241</v>
      </c>
    </row>
    <row r="74" customFormat="false" ht="15" hidden="false" customHeight="false" outlineLevel="0" collapsed="false">
      <c r="A74" s="9" t="s">
        <v>242</v>
      </c>
      <c r="B74" s="1" t="s">
        <v>143</v>
      </c>
      <c r="C74" s="1" t="str">
        <f aca="false">IF(G74=0,E74,B74)</f>
        <v>DERE INT PRIV</v>
      </c>
      <c r="D74" s="1" t="n">
        <f aca="false">LEN(C74)</f>
        <v>13</v>
      </c>
      <c r="E74" s="1" t="s">
        <v>144</v>
      </c>
      <c r="F74" s="1" t="n">
        <f aca="false">LEN(B74)</f>
        <v>29</v>
      </c>
      <c r="G74" s="1" t="n">
        <v>0</v>
      </c>
      <c r="H74" s="10" t="n">
        <v>3</v>
      </c>
      <c r="K74" s="0" t="s">
        <v>243</v>
      </c>
      <c r="L74" s="0" t="s">
        <v>244</v>
      </c>
    </row>
    <row r="75" customFormat="false" ht="15" hidden="false" customHeight="false" outlineLevel="0" collapsed="false">
      <c r="A75" s="9" t="s">
        <v>245</v>
      </c>
      <c r="B75" s="1" t="s">
        <v>146</v>
      </c>
      <c r="C75" s="1" t="str">
        <f aca="false">IF(G75=0,E75,B75)</f>
        <v>DERE INT PÚBL</v>
      </c>
      <c r="D75" s="1" t="n">
        <f aca="false">LEN(C75)</f>
        <v>13</v>
      </c>
      <c r="E75" s="1" t="s">
        <v>147</v>
      </c>
      <c r="F75" s="1" t="n">
        <f aca="false">LEN(B75)</f>
        <v>29</v>
      </c>
      <c r="G75" s="1" t="n">
        <v>0</v>
      </c>
      <c r="H75" s="10" t="n">
        <v>3</v>
      </c>
      <c r="K75" s="0" t="s">
        <v>246</v>
      </c>
      <c r="L75" s="0" t="s">
        <v>247</v>
      </c>
    </row>
    <row r="76" customFormat="false" ht="15" hidden="false" customHeight="false" outlineLevel="0" collapsed="false">
      <c r="A76" s="9" t="s">
        <v>248</v>
      </c>
      <c r="B76" s="1" t="s">
        <v>249</v>
      </c>
      <c r="C76" s="1" t="str">
        <f aca="false">IF(G76=0,E76,B76)</f>
        <v>DERECHO LABORAL I</v>
      </c>
      <c r="D76" s="1" t="n">
        <f aca="false">LEN(C76)</f>
        <v>17</v>
      </c>
      <c r="E76" s="1" t="s">
        <v>249</v>
      </c>
      <c r="F76" s="1" t="n">
        <f aca="false">LEN(B76)</f>
        <v>17</v>
      </c>
      <c r="G76" s="1" t="n">
        <v>1</v>
      </c>
      <c r="H76" s="10" t="n">
        <v>3</v>
      </c>
      <c r="K76" s="0" t="s">
        <v>250</v>
      </c>
      <c r="L76" s="0" t="s">
        <v>251</v>
      </c>
    </row>
    <row r="77" customFormat="false" ht="15" hidden="false" customHeight="false" outlineLevel="0" collapsed="false">
      <c r="A77" s="9" t="s">
        <v>252</v>
      </c>
      <c r="B77" s="1" t="s">
        <v>253</v>
      </c>
      <c r="C77" s="1" t="str">
        <f aca="false">IF(G77=0,E77,B77)</f>
        <v>DERECHO LABORAL II</v>
      </c>
      <c r="D77" s="1" t="n">
        <f aca="false">LEN(C77)</f>
        <v>18</v>
      </c>
      <c r="E77" s="1" t="s">
        <v>253</v>
      </c>
      <c r="F77" s="1" t="n">
        <f aca="false">LEN(B77)</f>
        <v>18</v>
      </c>
      <c r="G77" s="1" t="n">
        <v>1</v>
      </c>
      <c r="H77" s="10" t="n">
        <v>3</v>
      </c>
      <c r="K77" s="0" t="s">
        <v>254</v>
      </c>
      <c r="L77" s="0" t="s">
        <v>255</v>
      </c>
    </row>
    <row r="78" customFormat="false" ht="15" hidden="false" customHeight="false" outlineLevel="0" collapsed="false">
      <c r="A78" s="9" t="s">
        <v>256</v>
      </c>
      <c r="B78" s="1" t="s">
        <v>150</v>
      </c>
      <c r="C78" s="1" t="str">
        <f aca="false">IF(G78=0,E78,B78)</f>
        <v>DERE NOTA REGI</v>
      </c>
      <c r="D78" s="1" t="n">
        <f aca="false">LEN(C78)</f>
        <v>14</v>
      </c>
      <c r="E78" s="1" t="s">
        <v>151</v>
      </c>
      <c r="F78" s="1" t="n">
        <f aca="false">LEN(B78)</f>
        <v>28</v>
      </c>
      <c r="G78" s="1" t="n">
        <v>0</v>
      </c>
      <c r="H78" s="10" t="n">
        <v>3</v>
      </c>
      <c r="K78" s="0" t="s">
        <v>257</v>
      </c>
      <c r="L78" s="0" t="s">
        <v>258</v>
      </c>
    </row>
    <row r="79" customFormat="false" ht="15" hidden="false" customHeight="false" outlineLevel="0" collapsed="false">
      <c r="A79" s="9" t="s">
        <v>259</v>
      </c>
      <c r="B79" s="1" t="s">
        <v>260</v>
      </c>
      <c r="C79" s="1" t="str">
        <f aca="false">IF(G79=0,E79,B79)</f>
        <v>DERECHO PENAL ESPECIAL I</v>
      </c>
      <c r="D79" s="1" t="n">
        <f aca="false">LEN(C79)</f>
        <v>24</v>
      </c>
      <c r="E79" s="1" t="s">
        <v>260</v>
      </c>
      <c r="F79" s="1" t="n">
        <f aca="false">LEN(B79)</f>
        <v>24</v>
      </c>
      <c r="G79" s="1" t="n">
        <v>1</v>
      </c>
      <c r="H79" s="10" t="n">
        <v>4</v>
      </c>
      <c r="K79" s="0" t="s">
        <v>261</v>
      </c>
      <c r="L79" s="0" t="s">
        <v>262</v>
      </c>
    </row>
    <row r="80" customFormat="false" ht="15" hidden="false" customHeight="false" outlineLevel="0" collapsed="false">
      <c r="A80" s="9" t="s">
        <v>263</v>
      </c>
      <c r="B80" s="1" t="s">
        <v>264</v>
      </c>
      <c r="C80" s="1" t="str">
        <f aca="false">IF(G80=0,E80,B80)</f>
        <v>DERECHO PENAL ESPECIAL II</v>
      </c>
      <c r="D80" s="1" t="n">
        <f aca="false">LEN(C80)</f>
        <v>25</v>
      </c>
      <c r="E80" s="1" t="s">
        <v>264</v>
      </c>
      <c r="F80" s="1" t="n">
        <f aca="false">LEN(B80)</f>
        <v>25</v>
      </c>
      <c r="G80" s="1" t="n">
        <v>1</v>
      </c>
      <c r="H80" s="10" t="n">
        <v>3</v>
      </c>
      <c r="K80" s="0" t="s">
        <v>265</v>
      </c>
      <c r="L80" s="0" t="s">
        <v>266</v>
      </c>
    </row>
    <row r="81" customFormat="false" ht="15" hidden="false" customHeight="false" outlineLevel="0" collapsed="false">
      <c r="A81" s="9" t="s">
        <v>267</v>
      </c>
      <c r="B81" s="1" t="s">
        <v>268</v>
      </c>
      <c r="C81" s="1" t="str">
        <f aca="false">IF(G81=0,E81,B81)</f>
        <v>DERECHO PENAL I</v>
      </c>
      <c r="D81" s="1" t="n">
        <f aca="false">LEN(C81)</f>
        <v>15</v>
      </c>
      <c r="E81" s="1" t="s">
        <v>268</v>
      </c>
      <c r="F81" s="1" t="n">
        <f aca="false">LEN(B81)</f>
        <v>15</v>
      </c>
      <c r="G81" s="1" t="n">
        <v>1</v>
      </c>
      <c r="H81" s="10" t="n">
        <v>3</v>
      </c>
      <c r="K81" s="0" t="s">
        <v>269</v>
      </c>
      <c r="L81" s="0" t="s">
        <v>270</v>
      </c>
    </row>
    <row r="82" customFormat="false" ht="15" hidden="false" customHeight="false" outlineLevel="0" collapsed="false">
      <c r="A82" s="9" t="s">
        <v>271</v>
      </c>
      <c r="B82" s="1" t="s">
        <v>272</v>
      </c>
      <c r="C82" s="1" t="str">
        <f aca="false">IF(G82=0,E82,B82)</f>
        <v>DERECHO PENAL II</v>
      </c>
      <c r="D82" s="1" t="n">
        <f aca="false">LEN(C82)</f>
        <v>16</v>
      </c>
      <c r="E82" s="1" t="s">
        <v>272</v>
      </c>
      <c r="F82" s="1" t="n">
        <f aca="false">LEN(B82)</f>
        <v>16</v>
      </c>
      <c r="G82" s="1" t="n">
        <v>1</v>
      </c>
      <c r="H82" s="10" t="n">
        <v>3</v>
      </c>
      <c r="K82" s="0" t="s">
        <v>273</v>
      </c>
      <c r="L82" s="0" t="s">
        <v>274</v>
      </c>
    </row>
    <row r="83" customFormat="false" ht="15" hidden="false" customHeight="false" outlineLevel="0" collapsed="false">
      <c r="A83" s="9" t="s">
        <v>275</v>
      </c>
      <c r="B83" s="1" t="s">
        <v>276</v>
      </c>
      <c r="C83" s="1" t="str">
        <f aca="false">IF(G83=0,E83,B83)</f>
        <v>DERECHO PRIVADO I</v>
      </c>
      <c r="D83" s="1" t="n">
        <f aca="false">LEN(C83)</f>
        <v>17</v>
      </c>
      <c r="E83" s="1" t="s">
        <v>276</v>
      </c>
      <c r="F83" s="1" t="n">
        <f aca="false">LEN(B83)</f>
        <v>17</v>
      </c>
      <c r="G83" s="1" t="n">
        <v>1</v>
      </c>
      <c r="H83" s="10" t="n">
        <v>3</v>
      </c>
      <c r="K83" s="0" t="s">
        <v>277</v>
      </c>
      <c r="L83" s="0" t="s">
        <v>278</v>
      </c>
    </row>
    <row r="84" customFormat="false" ht="15" hidden="false" customHeight="false" outlineLevel="0" collapsed="false">
      <c r="A84" s="9" t="s">
        <v>279</v>
      </c>
      <c r="B84" s="1" t="s">
        <v>280</v>
      </c>
      <c r="C84" s="1" t="str">
        <f aca="false">IF(G84=0,E84,B84)</f>
        <v>DERECHO PRIVADO II</v>
      </c>
      <c r="D84" s="1" t="n">
        <f aca="false">LEN(C84)</f>
        <v>18</v>
      </c>
      <c r="E84" s="1" t="s">
        <v>280</v>
      </c>
      <c r="F84" s="1" t="n">
        <f aca="false">LEN(B84)</f>
        <v>18</v>
      </c>
      <c r="G84" s="1" t="n">
        <v>1</v>
      </c>
      <c r="H84" s="10" t="n">
        <v>3</v>
      </c>
      <c r="K84" s="0" t="s">
        <v>281</v>
      </c>
      <c r="L84" s="0" t="s">
        <v>282</v>
      </c>
    </row>
    <row r="85" customFormat="false" ht="15" hidden="false" customHeight="false" outlineLevel="0" collapsed="false">
      <c r="A85" s="9" t="s">
        <v>283</v>
      </c>
      <c r="B85" s="1" t="s">
        <v>154</v>
      </c>
      <c r="C85" s="1" t="str">
        <f aca="false">IF(G85=0,E85,B85)</f>
        <v>DERE PROC ADMI</v>
      </c>
      <c r="D85" s="1" t="n">
        <f aca="false">LEN(C85)</f>
        <v>14</v>
      </c>
      <c r="E85" s="1" t="s">
        <v>155</v>
      </c>
      <c r="F85" s="1" t="n">
        <f aca="false">LEN(B85)</f>
        <v>31</v>
      </c>
      <c r="G85" s="1" t="n">
        <v>0</v>
      </c>
      <c r="H85" s="10" t="n">
        <v>3</v>
      </c>
      <c r="K85" s="0" t="s">
        <v>284</v>
      </c>
      <c r="L85" s="0" t="s">
        <v>285</v>
      </c>
    </row>
    <row r="86" customFormat="false" ht="15" hidden="false" customHeight="false" outlineLevel="0" collapsed="false">
      <c r="A86" s="9" t="s">
        <v>286</v>
      </c>
      <c r="B86" s="1" t="s">
        <v>287</v>
      </c>
      <c r="C86" s="1" t="str">
        <f aca="false">IF(G86=0,E86,B86)</f>
        <v>DERECHO PROCESAL CIVIL I</v>
      </c>
      <c r="D86" s="1" t="n">
        <f aca="false">LEN(C86)</f>
        <v>24</v>
      </c>
      <c r="E86" s="1" t="s">
        <v>287</v>
      </c>
      <c r="F86" s="1" t="n">
        <f aca="false">LEN(B86)</f>
        <v>24</v>
      </c>
      <c r="G86" s="1" t="n">
        <v>1</v>
      </c>
      <c r="H86" s="10" t="n">
        <v>3</v>
      </c>
      <c r="K86" s="0" t="s">
        <v>288</v>
      </c>
      <c r="L86" s="0" t="s">
        <v>289</v>
      </c>
    </row>
    <row r="87" customFormat="false" ht="15" hidden="false" customHeight="false" outlineLevel="0" collapsed="false">
      <c r="A87" s="9" t="s">
        <v>290</v>
      </c>
      <c r="B87" s="1" t="s">
        <v>291</v>
      </c>
      <c r="C87" s="1" t="str">
        <f aca="false">IF(G87=0,E87,B87)</f>
        <v>DERECHO PROCESAL CIVIL II</v>
      </c>
      <c r="D87" s="1" t="n">
        <f aca="false">LEN(C87)</f>
        <v>25</v>
      </c>
      <c r="E87" s="1" t="s">
        <v>291</v>
      </c>
      <c r="F87" s="1" t="n">
        <f aca="false">LEN(B87)</f>
        <v>25</v>
      </c>
      <c r="G87" s="1" t="n">
        <v>1</v>
      </c>
      <c r="H87" s="10" t="n">
        <v>3</v>
      </c>
      <c r="K87" s="0" t="s">
        <v>292</v>
      </c>
      <c r="L87" s="0" t="s">
        <v>293</v>
      </c>
    </row>
    <row r="88" customFormat="false" ht="15" hidden="false" customHeight="false" outlineLevel="0" collapsed="false">
      <c r="A88" s="9" t="s">
        <v>294</v>
      </c>
      <c r="B88" s="1" t="s">
        <v>295</v>
      </c>
      <c r="C88" s="1" t="str">
        <f aca="false">IF(G88=0,E88,B88)</f>
        <v>DERECHO PROCESAL CIVIL III</v>
      </c>
      <c r="D88" s="1" t="n">
        <f aca="false">LEN(C88)</f>
        <v>26</v>
      </c>
      <c r="E88" s="1" t="s">
        <v>295</v>
      </c>
      <c r="F88" s="1" t="n">
        <f aca="false">LEN(B88)</f>
        <v>26</v>
      </c>
      <c r="G88" s="1" t="n">
        <v>1</v>
      </c>
      <c r="H88" s="10" t="n">
        <v>3</v>
      </c>
      <c r="K88" s="0" t="s">
        <v>296</v>
      </c>
      <c r="L88" s="0" t="s">
        <v>297</v>
      </c>
    </row>
    <row r="89" customFormat="false" ht="15" hidden="false" customHeight="false" outlineLevel="0" collapsed="false">
      <c r="A89" s="9" t="s">
        <v>298</v>
      </c>
      <c r="B89" s="1" t="s">
        <v>157</v>
      </c>
      <c r="C89" s="1" t="str">
        <f aca="false">IF(G89=0,E89,B89)</f>
        <v>DERE PROC CONS</v>
      </c>
      <c r="D89" s="1" t="n">
        <f aca="false">LEN(C89)</f>
        <v>14</v>
      </c>
      <c r="E89" s="1" t="s">
        <v>158</v>
      </c>
      <c r="F89" s="1" t="n">
        <f aca="false">LEN(B89)</f>
        <v>31</v>
      </c>
      <c r="G89" s="1" t="n">
        <v>0</v>
      </c>
      <c r="H89" s="10" t="n">
        <v>3</v>
      </c>
      <c r="K89" s="0" t="s">
        <v>299</v>
      </c>
      <c r="L89" s="0" t="s">
        <v>300</v>
      </c>
    </row>
    <row r="90" customFormat="false" ht="15" hidden="false" customHeight="false" outlineLevel="0" collapsed="false">
      <c r="A90" s="9" t="s">
        <v>301</v>
      </c>
      <c r="B90" s="1" t="s">
        <v>302</v>
      </c>
      <c r="C90" s="1" t="str">
        <f aca="false">IF(G90=0,E90,B90)</f>
        <v>DERECHO PROCESAL DE FAMILIA</v>
      </c>
      <c r="D90" s="1" t="n">
        <f aca="false">LEN(C90)</f>
        <v>27</v>
      </c>
      <c r="E90" s="1" t="s">
        <v>302</v>
      </c>
      <c r="F90" s="1" t="n">
        <f aca="false">LEN(B90)</f>
        <v>27</v>
      </c>
      <c r="G90" s="1" t="n">
        <v>1</v>
      </c>
      <c r="H90" s="10" t="n">
        <v>3</v>
      </c>
      <c r="K90" s="0" t="s">
        <v>303</v>
      </c>
      <c r="L90" s="0" t="s">
        <v>304</v>
      </c>
    </row>
    <row r="91" customFormat="false" ht="15" hidden="false" customHeight="false" outlineLevel="0" collapsed="false">
      <c r="A91" s="9" t="s">
        <v>305</v>
      </c>
      <c r="B91" s="1" t="s">
        <v>306</v>
      </c>
      <c r="C91" s="1" t="str">
        <f aca="false">IF(G91=0,E91,B91)</f>
        <v>DERECHO PROCESAL LABORAL</v>
      </c>
      <c r="D91" s="1" t="n">
        <f aca="false">LEN(C91)</f>
        <v>24</v>
      </c>
      <c r="E91" s="1" t="s">
        <v>306</v>
      </c>
      <c r="F91" s="1" t="n">
        <f aca="false">LEN(B91)</f>
        <v>24</v>
      </c>
      <c r="G91" s="1" t="n">
        <v>1</v>
      </c>
      <c r="H91" s="10" t="n">
        <v>3</v>
      </c>
      <c r="K91" s="0" t="s">
        <v>303</v>
      </c>
      <c r="L91" s="0" t="s">
        <v>304</v>
      </c>
    </row>
    <row r="92" customFormat="false" ht="15" hidden="false" customHeight="false" outlineLevel="0" collapsed="false">
      <c r="A92" s="9" t="s">
        <v>307</v>
      </c>
      <c r="B92" s="1" t="s">
        <v>308</v>
      </c>
      <c r="C92" s="1" t="str">
        <f aca="false">IF(G92=0,E92,B92)</f>
        <v>DERECHO PROCESAL PENAL I</v>
      </c>
      <c r="D92" s="1" t="n">
        <f aca="false">LEN(C92)</f>
        <v>24</v>
      </c>
      <c r="E92" s="1" t="s">
        <v>308</v>
      </c>
      <c r="F92" s="1" t="n">
        <f aca="false">LEN(B92)</f>
        <v>24</v>
      </c>
      <c r="G92" s="1" t="n">
        <v>1</v>
      </c>
      <c r="H92" s="10" t="n">
        <v>3</v>
      </c>
      <c r="K92" s="0" t="s">
        <v>309</v>
      </c>
      <c r="L92" s="0" t="s">
        <v>310</v>
      </c>
    </row>
    <row r="93" customFormat="false" ht="15" hidden="false" customHeight="false" outlineLevel="0" collapsed="false">
      <c r="A93" s="9" t="s">
        <v>311</v>
      </c>
      <c r="B93" s="1" t="s">
        <v>312</v>
      </c>
      <c r="C93" s="1" t="str">
        <f aca="false">IF(G93=0,E93,B93)</f>
        <v>DERECHO PROCESAL PENAL II</v>
      </c>
      <c r="D93" s="1" t="n">
        <f aca="false">LEN(C93)</f>
        <v>25</v>
      </c>
      <c r="E93" s="1" t="s">
        <v>312</v>
      </c>
      <c r="F93" s="1" t="n">
        <f aca="false">LEN(B93)</f>
        <v>25</v>
      </c>
      <c r="G93" s="1" t="n">
        <v>1</v>
      </c>
      <c r="H93" s="10" t="n">
        <v>3</v>
      </c>
      <c r="K93" s="0" t="s">
        <v>313</v>
      </c>
      <c r="L93" s="0" t="s">
        <v>314</v>
      </c>
    </row>
    <row r="94" customFormat="false" ht="15" hidden="false" customHeight="false" outlineLevel="0" collapsed="false">
      <c r="A94" s="9" t="s">
        <v>315</v>
      </c>
      <c r="B94" s="1" t="s">
        <v>316</v>
      </c>
      <c r="C94" s="1" t="str">
        <f aca="false">IF(G94=0,E94,B94)</f>
        <v>DERECHO PROCESAL PENAL III</v>
      </c>
      <c r="D94" s="1" t="n">
        <f aca="false">LEN(C94)</f>
        <v>26</v>
      </c>
      <c r="E94" s="1" t="s">
        <v>316</v>
      </c>
      <c r="F94" s="1" t="n">
        <f aca="false">LEN(B94)</f>
        <v>26</v>
      </c>
      <c r="G94" s="1" t="n">
        <v>1</v>
      </c>
      <c r="H94" s="10" t="n">
        <v>3</v>
      </c>
      <c r="K94" s="0" t="s">
        <v>317</v>
      </c>
      <c r="L94" s="0" t="s">
        <v>318</v>
      </c>
    </row>
    <row r="95" customFormat="false" ht="15" hidden="false" customHeight="false" outlineLevel="0" collapsed="false">
      <c r="A95" s="9" t="s">
        <v>319</v>
      </c>
      <c r="B95" s="1" t="s">
        <v>320</v>
      </c>
      <c r="C95" s="1" t="str">
        <f aca="false">IF(G95=0,E95,B95)</f>
        <v>DERECHO PÚBLICO</v>
      </c>
      <c r="D95" s="1" t="n">
        <f aca="false">LEN(C95)</f>
        <v>15</v>
      </c>
      <c r="E95" s="1" t="s">
        <v>320</v>
      </c>
      <c r="F95" s="1" t="n">
        <f aca="false">LEN(B95)</f>
        <v>15</v>
      </c>
      <c r="G95" s="1" t="n">
        <v>1</v>
      </c>
      <c r="H95" s="10" t="n">
        <v>3</v>
      </c>
      <c r="K95" s="0" t="s">
        <v>317</v>
      </c>
      <c r="L95" s="0" t="s">
        <v>318</v>
      </c>
    </row>
    <row r="96" customFormat="false" ht="15" hidden="false" customHeight="false" outlineLevel="0" collapsed="false">
      <c r="A96" s="9" t="s">
        <v>321</v>
      </c>
      <c r="B96" s="1" t="s">
        <v>322</v>
      </c>
      <c r="C96" s="1" t="str">
        <f aca="false">IF(G96=0,E96,B96)</f>
        <v>DERECHO ROMANO</v>
      </c>
      <c r="D96" s="1" t="n">
        <f aca="false">LEN(C96)</f>
        <v>14</v>
      </c>
      <c r="E96" s="1" t="s">
        <v>322</v>
      </c>
      <c r="F96" s="1" t="n">
        <f aca="false">LEN(B96)</f>
        <v>14</v>
      </c>
      <c r="G96" s="1" t="n">
        <v>1</v>
      </c>
      <c r="H96" s="10" t="n">
        <v>3</v>
      </c>
      <c r="K96" s="0" t="s">
        <v>323</v>
      </c>
      <c r="L96" s="0" t="s">
        <v>324</v>
      </c>
    </row>
    <row r="97" customFormat="false" ht="15" hidden="false" customHeight="false" outlineLevel="0" collapsed="false">
      <c r="A97" s="9" t="s">
        <v>325</v>
      </c>
      <c r="B97" s="1" t="s">
        <v>326</v>
      </c>
      <c r="C97" s="1" t="str">
        <f aca="false">IF(G97=0,E97,B97)</f>
        <v>DERECHO SUCESORIO</v>
      </c>
      <c r="D97" s="1" t="n">
        <f aca="false">LEN(C97)</f>
        <v>17</v>
      </c>
      <c r="E97" s="1" t="s">
        <v>326</v>
      </c>
      <c r="F97" s="1" t="n">
        <f aca="false">LEN(B97)</f>
        <v>17</v>
      </c>
      <c r="G97" s="1" t="n">
        <v>1</v>
      </c>
      <c r="H97" s="10" t="n">
        <v>3</v>
      </c>
      <c r="K97" s="0" t="s">
        <v>327</v>
      </c>
      <c r="L97" s="0" t="s">
        <v>328</v>
      </c>
    </row>
    <row r="98" customFormat="false" ht="15" hidden="false" customHeight="false" outlineLevel="0" collapsed="false">
      <c r="A98" s="9" t="s">
        <v>329</v>
      </c>
      <c r="B98" s="1" t="s">
        <v>161</v>
      </c>
      <c r="C98" s="1" t="str">
        <f aca="false">IF(G98=0,E98,B98)</f>
        <v>DERE TRIB FINA</v>
      </c>
      <c r="D98" s="1" t="n">
        <f aca="false">LEN(C98)</f>
        <v>14</v>
      </c>
      <c r="E98" s="1" t="s">
        <v>162</v>
      </c>
      <c r="F98" s="1" t="n">
        <f aca="false">LEN(B98)</f>
        <v>31</v>
      </c>
      <c r="G98" s="1" t="n">
        <v>0</v>
      </c>
      <c r="H98" s="10" t="n">
        <v>3</v>
      </c>
      <c r="K98" s="0" t="s">
        <v>330</v>
      </c>
      <c r="L98" s="0" t="s">
        <v>331</v>
      </c>
    </row>
    <row r="99" customFormat="false" ht="15" hidden="false" customHeight="false" outlineLevel="0" collapsed="false">
      <c r="A99" s="9" t="s">
        <v>332</v>
      </c>
      <c r="B99" s="1" t="s">
        <v>164</v>
      </c>
      <c r="C99" s="1" t="str">
        <f aca="false">IF(G99=0,E99,B99)</f>
        <v>DERE TEC INFO COMU</v>
      </c>
      <c r="D99" s="1" t="n">
        <f aca="false">LEN(C99)</f>
        <v>18</v>
      </c>
      <c r="E99" s="1" t="s">
        <v>165</v>
      </c>
      <c r="F99" s="1" t="n">
        <f aca="false">LEN(B99)</f>
        <v>61</v>
      </c>
      <c r="G99" s="1" t="n">
        <v>0</v>
      </c>
      <c r="H99" s="10" t="n">
        <v>3</v>
      </c>
      <c r="K99" s="0" t="s">
        <v>333</v>
      </c>
      <c r="L99" s="0" t="s">
        <v>334</v>
      </c>
    </row>
    <row r="100" customFormat="false" ht="15" hidden="false" customHeight="false" outlineLevel="0" collapsed="false">
      <c r="A100" s="9" t="s">
        <v>335</v>
      </c>
      <c r="B100" s="1" t="s">
        <v>336</v>
      </c>
      <c r="C100" s="1" t="str">
        <f aca="false">IF(G100=0,E100,B100)</f>
        <v>DERECHOS REALES I</v>
      </c>
      <c r="D100" s="1" t="n">
        <f aca="false">LEN(C100)</f>
        <v>17</v>
      </c>
      <c r="E100" s="1" t="s">
        <v>336</v>
      </c>
      <c r="F100" s="1" t="n">
        <f aca="false">LEN(B100)</f>
        <v>17</v>
      </c>
      <c r="G100" s="1" t="n">
        <v>1</v>
      </c>
      <c r="H100" s="10" t="n">
        <v>3</v>
      </c>
      <c r="K100" s="0" t="s">
        <v>337</v>
      </c>
      <c r="L100" s="0" t="s">
        <v>338</v>
      </c>
    </row>
    <row r="101" customFormat="false" ht="15" hidden="false" customHeight="false" outlineLevel="0" collapsed="false">
      <c r="A101" s="9" t="s">
        <v>339</v>
      </c>
      <c r="B101" s="1" t="s">
        <v>340</v>
      </c>
      <c r="C101" s="1" t="str">
        <f aca="false">IF(G101=0,E101,B101)</f>
        <v>DERECHOS REALES II</v>
      </c>
      <c r="D101" s="1" t="n">
        <f aca="false">LEN(C101)</f>
        <v>18</v>
      </c>
      <c r="E101" s="1" t="s">
        <v>340</v>
      </c>
      <c r="F101" s="1" t="n">
        <f aca="false">LEN(B101)</f>
        <v>18</v>
      </c>
      <c r="G101" s="1" t="n">
        <v>1</v>
      </c>
      <c r="H101" s="10" t="n">
        <v>3</v>
      </c>
      <c r="K101" s="0" t="s">
        <v>341</v>
      </c>
      <c r="L101" s="0" t="s">
        <v>342</v>
      </c>
    </row>
    <row r="102" customFormat="false" ht="15" hidden="false" customHeight="false" outlineLevel="0" collapsed="false">
      <c r="A102" s="1" t="s">
        <v>343</v>
      </c>
      <c r="B102" s="1" t="s">
        <v>167</v>
      </c>
      <c r="C102" s="1" t="str">
        <f aca="false">IF(G102=0,E102,B102)</f>
        <v>DESA HABI LIDE PEDA</v>
      </c>
      <c r="D102" s="1" t="n">
        <f aca="false">LEN(C102)</f>
        <v>19</v>
      </c>
      <c r="E102" s="1" t="s">
        <v>168</v>
      </c>
      <c r="F102" s="1" t="n">
        <f aca="false">LEN(B102)</f>
        <v>54</v>
      </c>
      <c r="G102" s="1" t="n">
        <v>0</v>
      </c>
      <c r="H102" s="0" t="n">
        <v>3</v>
      </c>
      <c r="K102" s="0" t="s">
        <v>344</v>
      </c>
      <c r="L102" s="0" t="s">
        <v>345</v>
      </c>
    </row>
    <row r="103" customFormat="false" ht="15" hidden="false" customHeight="false" outlineLevel="0" collapsed="false">
      <c r="A103" s="7" t="s">
        <v>346</v>
      </c>
      <c r="B103" s="1" t="s">
        <v>171</v>
      </c>
      <c r="C103" s="1" t="str">
        <f aca="false">IF(G103=0,E103,B103)</f>
        <v>DESA LECT INIC</v>
      </c>
      <c r="D103" s="1" t="n">
        <f aca="false">LEN(C103)</f>
        <v>14</v>
      </c>
      <c r="E103" s="1" t="s">
        <v>172</v>
      </c>
      <c r="F103" s="1" t="n">
        <f aca="false">LEN(B103)</f>
        <v>39</v>
      </c>
      <c r="G103" s="1" t="n">
        <v>0</v>
      </c>
      <c r="H103" s="6" t="n">
        <v>3</v>
      </c>
      <c r="K103" s="0" t="s">
        <v>347</v>
      </c>
      <c r="L103" s="0" t="s">
        <v>348</v>
      </c>
    </row>
    <row r="104" customFormat="false" ht="15" hidden="false" customHeight="false" outlineLevel="0" collapsed="false">
      <c r="A104" s="5" t="s">
        <v>349</v>
      </c>
      <c r="B104" s="1" t="s">
        <v>174</v>
      </c>
      <c r="C104" s="1" t="str">
        <f aca="false">IF(G104=0,E104,B104)</f>
        <v>DESA PENS ALGE FUNC</v>
      </c>
      <c r="D104" s="1" t="n">
        <f aca="false">LEN(C104)</f>
        <v>19</v>
      </c>
      <c r="E104" s="1" t="s">
        <v>175</v>
      </c>
      <c r="F104" s="1" t="n">
        <f aca="false">LEN(B104)</f>
        <v>49</v>
      </c>
      <c r="G104" s="1" t="n">
        <v>0</v>
      </c>
      <c r="H104" s="6" t="n">
        <v>3</v>
      </c>
      <c r="K104" s="0" t="s">
        <v>350</v>
      </c>
      <c r="L104" s="0" t="s">
        <v>351</v>
      </c>
    </row>
    <row r="105" customFormat="false" ht="15" hidden="false" customHeight="false" outlineLevel="0" collapsed="false">
      <c r="A105" s="1" t="s">
        <v>352</v>
      </c>
      <c r="B105" s="1" t="s">
        <v>353</v>
      </c>
      <c r="C105" s="1" t="str">
        <f aca="false">IF(G105=0,E105,B105)</f>
        <v>DIBUJO I</v>
      </c>
      <c r="D105" s="1" t="n">
        <f aca="false">LEN(C105)</f>
        <v>8</v>
      </c>
      <c r="E105" s="1" t="s">
        <v>353</v>
      </c>
      <c r="F105" s="1" t="n">
        <f aca="false">LEN(B105)</f>
        <v>8</v>
      </c>
      <c r="G105" s="1" t="n">
        <v>1</v>
      </c>
      <c r="K105" s="0" t="s">
        <v>354</v>
      </c>
      <c r="L105" s="0" t="s">
        <v>355</v>
      </c>
    </row>
    <row r="106" customFormat="false" ht="15" hidden="false" customHeight="false" outlineLevel="0" collapsed="false">
      <c r="A106" s="1" t="s">
        <v>356</v>
      </c>
      <c r="B106" s="1" t="s">
        <v>357</v>
      </c>
      <c r="C106" s="1" t="str">
        <f aca="false">IF(G106=0,E106,B106)</f>
        <v>DIBUJO II</v>
      </c>
      <c r="D106" s="1" t="n">
        <f aca="false">LEN(C106)</f>
        <v>9</v>
      </c>
      <c r="E106" s="1" t="s">
        <v>357</v>
      </c>
      <c r="F106" s="1" t="n">
        <f aca="false">LEN(B106)</f>
        <v>9</v>
      </c>
      <c r="G106" s="1" t="n">
        <v>1</v>
      </c>
      <c r="K106" s="0" t="s">
        <v>358</v>
      </c>
      <c r="L106" s="0" t="s">
        <v>359</v>
      </c>
    </row>
    <row r="107" customFormat="false" ht="15" hidden="false" customHeight="false" outlineLevel="0" collapsed="false">
      <c r="A107" s="1" t="s">
        <v>360</v>
      </c>
      <c r="B107" s="1" t="s">
        <v>361</v>
      </c>
      <c r="C107" s="1" t="str">
        <f aca="false">IF(G107=0,E107,B107)</f>
        <v>DIBUJO III</v>
      </c>
      <c r="D107" s="1" t="n">
        <f aca="false">LEN(C107)</f>
        <v>11</v>
      </c>
      <c r="E107" s="1" t="s">
        <v>361</v>
      </c>
      <c r="F107" s="1" t="n">
        <f aca="false">LEN(B107)</f>
        <v>11</v>
      </c>
      <c r="G107" s="1" t="n">
        <v>1</v>
      </c>
      <c r="K107" s="0" t="s">
        <v>362</v>
      </c>
      <c r="L107" s="0" t="s">
        <v>363</v>
      </c>
    </row>
    <row r="108" customFormat="false" ht="15" hidden="false" customHeight="false" outlineLevel="0" collapsed="false">
      <c r="A108" s="1" t="s">
        <v>364</v>
      </c>
      <c r="B108" s="1" t="s">
        <v>178</v>
      </c>
      <c r="C108" s="1" t="str">
        <f aca="false">IF(G108=0,E108,B108)</f>
        <v>DIDÁ AVAN APRE</v>
      </c>
      <c r="D108" s="1" t="n">
        <f aca="false">LEN(C108)</f>
        <v>14</v>
      </c>
      <c r="E108" s="1" t="s">
        <v>179</v>
      </c>
      <c r="F108" s="1" t="n">
        <f aca="false">LEN(B108)</f>
        <v>38</v>
      </c>
      <c r="G108" s="1" t="n">
        <v>0</v>
      </c>
      <c r="H108" s="0" t="n">
        <v>3</v>
      </c>
      <c r="K108" s="0" t="s">
        <v>365</v>
      </c>
      <c r="L108" s="0" t="s">
        <v>366</v>
      </c>
    </row>
    <row r="109" customFormat="false" ht="15" hidden="false" customHeight="false" outlineLevel="0" collapsed="false">
      <c r="A109" s="1" t="s">
        <v>367</v>
      </c>
      <c r="B109" s="1" t="s">
        <v>181</v>
      </c>
      <c r="C109" s="1" t="str">
        <f aca="false">IF(G109=0,E109,B109)</f>
        <v>DIDÁ APRE I</v>
      </c>
      <c r="D109" s="1" t="n">
        <f aca="false">LEN(C109)</f>
        <v>11</v>
      </c>
      <c r="E109" s="1" t="s">
        <v>182</v>
      </c>
      <c r="F109" s="1" t="n">
        <f aca="false">LEN(B109)</f>
        <v>31</v>
      </c>
      <c r="G109" s="1" t="n">
        <v>0</v>
      </c>
      <c r="H109" s="0" t="n">
        <v>3</v>
      </c>
      <c r="K109" s="0" t="s">
        <v>368</v>
      </c>
      <c r="L109" s="0" t="s">
        <v>369</v>
      </c>
    </row>
    <row r="110" customFormat="false" ht="15" hidden="false" customHeight="false" outlineLevel="0" collapsed="false">
      <c r="A110" s="1" t="s">
        <v>370</v>
      </c>
      <c r="B110" s="1" t="s">
        <v>184</v>
      </c>
      <c r="C110" s="1" t="str">
        <f aca="false">IF(G110=0,E110,B110)</f>
        <v>DIDÁ APRE II</v>
      </c>
      <c r="D110" s="1" t="n">
        <f aca="false">LEN(C110)</f>
        <v>12</v>
      </c>
      <c r="E110" s="1" t="s">
        <v>185</v>
      </c>
      <c r="F110" s="1" t="n">
        <f aca="false">LEN(B110)</f>
        <v>32</v>
      </c>
      <c r="G110" s="1" t="n">
        <v>0</v>
      </c>
      <c r="H110" s="0" t="n">
        <v>3</v>
      </c>
      <c r="K110" s="0" t="s">
        <v>371</v>
      </c>
      <c r="L110" s="0" t="s">
        <v>372</v>
      </c>
    </row>
    <row r="111" customFormat="false" ht="15" hidden="false" customHeight="false" outlineLevel="0" collapsed="false">
      <c r="A111" s="1" t="s">
        <v>373</v>
      </c>
      <c r="B111" s="1" t="s">
        <v>374</v>
      </c>
      <c r="C111" s="1" t="str">
        <f aca="false">IF(G111=0,E111,B111)</f>
        <v>DIDÁCTICA GENERAL</v>
      </c>
      <c r="D111" s="1" t="n">
        <f aca="false">LEN(C111)</f>
        <v>17</v>
      </c>
      <c r="E111" s="1" t="s">
        <v>374</v>
      </c>
      <c r="F111" s="1" t="n">
        <f aca="false">LEN(B111)</f>
        <v>17</v>
      </c>
      <c r="G111" s="1" t="n">
        <v>1</v>
      </c>
      <c r="K111" s="0" t="s">
        <v>375</v>
      </c>
      <c r="L111" s="0" t="s">
        <v>376</v>
      </c>
    </row>
    <row r="112" customFormat="false" ht="15" hidden="false" customHeight="false" outlineLevel="0" collapsed="false">
      <c r="A112" s="1" t="s">
        <v>377</v>
      </c>
      <c r="B112" s="1" t="s">
        <v>188</v>
      </c>
      <c r="C112" s="1" t="str">
        <f aca="false">IF(G112=0,E112,B112)</f>
        <v>DIR ESTRAT MERC VENTAS</v>
      </c>
      <c r="D112" s="1" t="n">
        <f aca="false">LEN(C112)</f>
        <v>22</v>
      </c>
      <c r="E112" s="1" t="s">
        <v>189</v>
      </c>
      <c r="F112" s="1" t="n">
        <f aca="false">LEN(B112)</f>
        <v>41</v>
      </c>
      <c r="G112" s="1" t="n">
        <v>0</v>
      </c>
      <c r="H112" s="0" t="n">
        <v>4</v>
      </c>
      <c r="K112" s="0" t="s">
        <v>378</v>
      </c>
      <c r="L112" s="0" t="s">
        <v>379</v>
      </c>
    </row>
    <row r="113" customFormat="false" ht="15" hidden="false" customHeight="false" outlineLevel="0" collapsed="false">
      <c r="A113" s="1" t="s">
        <v>380</v>
      </c>
      <c r="B113" s="1" t="s">
        <v>192</v>
      </c>
      <c r="C113" s="1" t="str">
        <f aca="false">IF(G113=0,E113,B113)</f>
        <v>DISEÑO AMBI APRE INNO</v>
      </c>
      <c r="D113" s="1" t="n">
        <f aca="false">LEN(C113)</f>
        <v>21</v>
      </c>
      <c r="E113" s="1" t="s">
        <v>193</v>
      </c>
      <c r="F113" s="1" t="n">
        <f aca="false">LEN(B113)</f>
        <v>46</v>
      </c>
      <c r="G113" s="1" t="n">
        <v>0</v>
      </c>
      <c r="K113" s="0" t="s">
        <v>381</v>
      </c>
      <c r="L113" s="0" t="s">
        <v>382</v>
      </c>
    </row>
    <row r="114" customFormat="false" ht="15" hidden="false" customHeight="false" outlineLevel="0" collapsed="false">
      <c r="A114" s="1" t="s">
        <v>383</v>
      </c>
      <c r="B114" s="1" t="s">
        <v>384</v>
      </c>
      <c r="C114" s="1" t="str">
        <f aca="false">IF(G114=0,E114,B114)</f>
        <v>DISEÑO DE EXPERIMENTOS</v>
      </c>
      <c r="D114" s="1" t="n">
        <f aca="false">LEN(C114)</f>
        <v>22</v>
      </c>
      <c r="E114" s="1" t="s">
        <v>384</v>
      </c>
      <c r="F114" s="1" t="n">
        <f aca="false">LEN(B114)</f>
        <v>22</v>
      </c>
      <c r="G114" s="1" t="n">
        <v>1</v>
      </c>
      <c r="H114" s="0" t="n">
        <v>4</v>
      </c>
      <c r="K114" s="0" t="s">
        <v>385</v>
      </c>
      <c r="L114" s="0" t="s">
        <v>386</v>
      </c>
    </row>
    <row r="115" customFormat="false" ht="15" hidden="false" customHeight="false" outlineLevel="0" collapsed="false">
      <c r="A115" s="1" t="s">
        <v>387</v>
      </c>
      <c r="B115" s="1" t="s">
        <v>388</v>
      </c>
      <c r="C115" s="1" t="str">
        <f aca="false">IF(G115=0,E115,B115)</f>
        <v>DISEÑO DE IMAGEN I</v>
      </c>
      <c r="D115" s="1" t="n">
        <f aca="false">LEN(C115)</f>
        <v>19</v>
      </c>
      <c r="E115" s="1" t="s">
        <v>388</v>
      </c>
      <c r="F115" s="1" t="n">
        <f aca="false">LEN(B115)</f>
        <v>19</v>
      </c>
      <c r="G115" s="1" t="n">
        <v>1</v>
      </c>
      <c r="K115" s="0" t="s">
        <v>389</v>
      </c>
      <c r="L115" s="0" t="s">
        <v>390</v>
      </c>
    </row>
    <row r="116" customFormat="false" ht="15" hidden="false" customHeight="false" outlineLevel="0" collapsed="false">
      <c r="A116" s="1" t="s">
        <v>391</v>
      </c>
      <c r="B116" s="1" t="s">
        <v>392</v>
      </c>
      <c r="C116" s="1" t="str">
        <f aca="false">IF(G116=0,E116,B116)</f>
        <v>DISEÑO DE IMAGEN II</v>
      </c>
      <c r="D116" s="1" t="n">
        <f aca="false">LEN(C116)</f>
        <v>19</v>
      </c>
      <c r="E116" s="1" t="s">
        <v>392</v>
      </c>
      <c r="F116" s="1" t="n">
        <f aca="false">LEN(B116)</f>
        <v>19</v>
      </c>
      <c r="G116" s="1" t="n">
        <v>1</v>
      </c>
      <c r="K116" s="0" t="s">
        <v>393</v>
      </c>
      <c r="L116" s="0" t="s">
        <v>394</v>
      </c>
    </row>
    <row r="117" customFormat="false" ht="15" hidden="false" customHeight="false" outlineLevel="0" collapsed="false">
      <c r="A117" s="1" t="s">
        <v>395</v>
      </c>
      <c r="B117" s="1" t="s">
        <v>196</v>
      </c>
      <c r="C117" s="1" t="str">
        <f aca="false">IF(G117=0,E117,B117)</f>
        <v>DISEÑO INST EVAL</v>
      </c>
      <c r="D117" s="1" t="n">
        <f aca="false">LEN(C117)</f>
        <v>16</v>
      </c>
      <c r="E117" s="1" t="s">
        <v>197</v>
      </c>
      <c r="F117" s="1" t="n">
        <f aca="false">LEN(B117)</f>
        <v>36</v>
      </c>
      <c r="G117" s="1" t="n">
        <v>0</v>
      </c>
      <c r="K117" s="0" t="s">
        <v>396</v>
      </c>
      <c r="L117" s="0" t="s">
        <v>397</v>
      </c>
    </row>
    <row r="118" customFormat="false" ht="15" hidden="false" customHeight="false" outlineLevel="0" collapsed="false">
      <c r="A118" s="4" t="s">
        <v>398</v>
      </c>
      <c r="B118" s="1" t="s">
        <v>399</v>
      </c>
      <c r="C118" s="1" t="str">
        <f aca="false">IF(G118=0,E118,B118)</f>
        <v>DISEÑO DE PLANTA</v>
      </c>
      <c r="D118" s="1" t="n">
        <f aca="false">LEN(C118)</f>
        <v>16</v>
      </c>
      <c r="E118" s="1" t="s">
        <v>399</v>
      </c>
      <c r="F118" s="1" t="n">
        <f aca="false">LEN(B118)</f>
        <v>16</v>
      </c>
      <c r="G118" s="1" t="n">
        <v>1</v>
      </c>
      <c r="K118" s="0" t="s">
        <v>400</v>
      </c>
      <c r="L118" s="0" t="s">
        <v>401</v>
      </c>
    </row>
    <row r="119" customFormat="false" ht="15" hidden="false" customHeight="false" outlineLevel="0" collapsed="false">
      <c r="A119" s="2" t="s">
        <v>402</v>
      </c>
      <c r="B119" s="1" t="s">
        <v>399</v>
      </c>
      <c r="C119" s="1" t="str">
        <f aca="false">IF(G119=0,E119,B119)</f>
        <v>DISEÑO DE PLANTA</v>
      </c>
      <c r="D119" s="1" t="n">
        <f aca="false">LEN(C119)</f>
        <v>16</v>
      </c>
      <c r="E119" s="1" t="s">
        <v>399</v>
      </c>
      <c r="F119" s="1" t="n">
        <f aca="false">LEN(B119)</f>
        <v>16</v>
      </c>
      <c r="G119" s="1" t="n">
        <v>1</v>
      </c>
      <c r="K119" s="0" t="s">
        <v>403</v>
      </c>
      <c r="L119" s="0" t="s">
        <v>404</v>
      </c>
    </row>
    <row r="120" customFormat="false" ht="15" hidden="false" customHeight="false" outlineLevel="0" collapsed="false">
      <c r="A120" s="1" t="s">
        <v>405</v>
      </c>
      <c r="B120" s="1" t="s">
        <v>200</v>
      </c>
      <c r="C120" s="1" t="str">
        <f aca="false">IF(G120=0,E120,B120)</f>
        <v>DISEÑO PROG EDUC ADULTA</v>
      </c>
      <c r="D120" s="1" t="n">
        <f aca="false">LEN(C120)</f>
        <v>23</v>
      </c>
      <c r="E120" s="1" t="s">
        <v>201</v>
      </c>
      <c r="F120" s="1" t="n">
        <f aca="false">LEN(B120)</f>
        <v>44</v>
      </c>
      <c r="G120" s="1" t="n">
        <v>0</v>
      </c>
      <c r="K120" s="0" t="s">
        <v>406</v>
      </c>
      <c r="L120" s="0" t="s">
        <v>407</v>
      </c>
    </row>
    <row r="121" customFormat="false" ht="15" hidden="false" customHeight="false" outlineLevel="0" collapsed="false">
      <c r="A121" s="1" t="s">
        <v>408</v>
      </c>
      <c r="B121" s="1" t="s">
        <v>204</v>
      </c>
      <c r="C121" s="1" t="str">
        <f aca="false">IF(G121=0,E121,B121)</f>
        <v>DISEÑO SIST COMP</v>
      </c>
      <c r="D121" s="1" t="n">
        <f aca="false">LEN(C121)</f>
        <v>16</v>
      </c>
      <c r="E121" s="1" t="s">
        <v>205</v>
      </c>
      <c r="F121" s="1" t="n">
        <f aca="false">LEN(B121)</f>
        <v>34</v>
      </c>
      <c r="G121" s="1" t="n">
        <v>0</v>
      </c>
      <c r="H121" s="0" t="n">
        <v>4</v>
      </c>
      <c r="K121" s="0" t="s">
        <v>409</v>
      </c>
      <c r="L121" s="0" t="s">
        <v>410</v>
      </c>
    </row>
    <row r="122" customFormat="false" ht="15" hidden="false" customHeight="false" outlineLevel="0" collapsed="false">
      <c r="A122" s="1" t="s">
        <v>411</v>
      </c>
      <c r="B122" s="1" t="s">
        <v>208</v>
      </c>
      <c r="C122" s="1" t="str">
        <f aca="false">IF(G122=0,E122,B122)</f>
        <v>DISEÑO VITR ESCA</v>
      </c>
      <c r="D122" s="1" t="n">
        <f aca="false">LEN(C122)</f>
        <v>16</v>
      </c>
      <c r="E122" s="1" t="s">
        <v>209</v>
      </c>
      <c r="F122" s="1" t="n">
        <f aca="false">LEN(B122)</f>
        <v>32</v>
      </c>
      <c r="G122" s="1" t="n">
        <v>0</v>
      </c>
      <c r="K122" s="0" t="s">
        <v>412</v>
      </c>
      <c r="L122" s="0" t="s">
        <v>413</v>
      </c>
    </row>
    <row r="123" customFormat="false" ht="15" hidden="false" customHeight="false" outlineLevel="0" collapsed="false">
      <c r="A123" s="1" t="s">
        <v>414</v>
      </c>
      <c r="B123" s="1" t="s">
        <v>212</v>
      </c>
      <c r="C123" s="1" t="str">
        <f aca="false">IF(G123=0,E123,B123)</f>
        <v>DISEÑO DIGI MATE DIDÁ</v>
      </c>
      <c r="D123" s="1" t="n">
        <f aca="false">LEN(C123)</f>
        <v>21</v>
      </c>
      <c r="E123" s="1" t="s">
        <v>213</v>
      </c>
      <c r="F123" s="1" t="n">
        <f aca="false">LEN(B123)</f>
        <v>39</v>
      </c>
      <c r="G123" s="1" t="n">
        <v>0</v>
      </c>
      <c r="K123" s="0" t="s">
        <v>415</v>
      </c>
      <c r="L123" s="0" t="s">
        <v>416</v>
      </c>
    </row>
    <row r="124" customFormat="false" ht="15" hidden="false" customHeight="false" outlineLevel="0" collapsed="false">
      <c r="A124" s="1" t="s">
        <v>417</v>
      </c>
      <c r="B124" s="1" t="s">
        <v>418</v>
      </c>
      <c r="C124" s="1" t="str">
        <f aca="false">IF(G124=0,E124,B124)</f>
        <v>DISEÑO EDITORIAL</v>
      </c>
      <c r="D124" s="1" t="n">
        <f aca="false">LEN(C124)</f>
        <v>17</v>
      </c>
      <c r="E124" s="1" t="s">
        <v>418</v>
      </c>
      <c r="F124" s="1" t="n">
        <f aca="false">LEN(B124)</f>
        <v>17</v>
      </c>
      <c r="G124" s="1" t="n">
        <v>1</v>
      </c>
      <c r="K124" s="0" t="s">
        <v>419</v>
      </c>
      <c r="L124" s="0" t="s">
        <v>420</v>
      </c>
    </row>
    <row r="125" customFormat="false" ht="15" hidden="false" customHeight="false" outlineLevel="0" collapsed="false">
      <c r="A125" s="1" t="s">
        <v>421</v>
      </c>
      <c r="B125" s="1" t="s">
        <v>422</v>
      </c>
      <c r="C125" s="1" t="str">
        <f aca="false">IF(G125=0,E125,B125)</f>
        <v>DISEÑO I</v>
      </c>
      <c r="D125" s="1" t="n">
        <f aca="false">LEN(C125)</f>
        <v>8</v>
      </c>
      <c r="E125" s="1" t="s">
        <v>422</v>
      </c>
      <c r="F125" s="1" t="n">
        <f aca="false">LEN(B125)</f>
        <v>8</v>
      </c>
      <c r="G125" s="1" t="n">
        <v>1</v>
      </c>
      <c r="K125" s="0" t="s">
        <v>423</v>
      </c>
      <c r="L125" s="0" t="s">
        <v>424</v>
      </c>
    </row>
    <row r="126" customFormat="false" ht="15" hidden="false" customHeight="false" outlineLevel="0" collapsed="false">
      <c r="A126" s="1" t="s">
        <v>425</v>
      </c>
      <c r="B126" s="1" t="s">
        <v>426</v>
      </c>
      <c r="C126" s="1" t="str">
        <f aca="false">IF(G126=0,E126,B126)</f>
        <v>DISEÑO II</v>
      </c>
      <c r="D126" s="1" t="n">
        <f aca="false">LEN(C126)</f>
        <v>9</v>
      </c>
      <c r="E126" s="1" t="s">
        <v>426</v>
      </c>
      <c r="F126" s="1" t="n">
        <f aca="false">LEN(B126)</f>
        <v>9</v>
      </c>
      <c r="G126" s="1" t="n">
        <v>1</v>
      </c>
      <c r="K126" s="0" t="s">
        <v>427</v>
      </c>
      <c r="L126" s="0" t="s">
        <v>428</v>
      </c>
    </row>
    <row r="127" customFormat="false" ht="15" hidden="false" customHeight="false" outlineLevel="0" collapsed="false">
      <c r="A127" s="1" t="s">
        <v>429</v>
      </c>
      <c r="B127" s="1" t="s">
        <v>430</v>
      </c>
      <c r="C127" s="1" t="str">
        <f aca="false">IF(G127=0,E127,B127)</f>
        <v>DISEÑO III</v>
      </c>
      <c r="D127" s="1" t="n">
        <f aca="false">LEN(C127)</f>
        <v>10</v>
      </c>
      <c r="E127" s="1" t="s">
        <v>430</v>
      </c>
      <c r="F127" s="1" t="n">
        <f aca="false">LEN(B127)</f>
        <v>10</v>
      </c>
      <c r="G127" s="1" t="n">
        <v>1</v>
      </c>
      <c r="K127" s="0" t="s">
        <v>431</v>
      </c>
      <c r="L127" s="0" t="s">
        <v>432</v>
      </c>
    </row>
    <row r="128" customFormat="false" ht="15" hidden="false" customHeight="false" outlineLevel="0" collapsed="false">
      <c r="A128" s="1" t="s">
        <v>433</v>
      </c>
      <c r="B128" s="1" t="s">
        <v>434</v>
      </c>
      <c r="C128" s="1" t="str">
        <f aca="false">IF(G128=0,E128,B128)</f>
        <v>DISEÑO UX - UI</v>
      </c>
      <c r="D128" s="1" t="n">
        <f aca="false">LEN(C128)</f>
        <v>14</v>
      </c>
      <c r="E128" s="1" t="s">
        <v>434</v>
      </c>
      <c r="F128" s="1" t="n">
        <f aca="false">LEN(B128)</f>
        <v>14</v>
      </c>
      <c r="G128" s="1" t="n">
        <v>1</v>
      </c>
      <c r="K128" s="0" t="s">
        <v>435</v>
      </c>
      <c r="L128" s="0" t="s">
        <v>436</v>
      </c>
    </row>
    <row r="129" customFormat="false" ht="15" hidden="false" customHeight="false" outlineLevel="0" collapsed="false">
      <c r="A129" s="1" t="s">
        <v>437</v>
      </c>
      <c r="B129" s="1" t="s">
        <v>438</v>
      </c>
      <c r="C129" s="1" t="str">
        <f aca="false">IF(G129=0,E129,B129)</f>
        <v>DISEÑO VECTORIAL I</v>
      </c>
      <c r="D129" s="1" t="n">
        <f aca="false">LEN(C129)</f>
        <v>19</v>
      </c>
      <c r="E129" s="1" t="s">
        <v>438</v>
      </c>
      <c r="F129" s="1" t="n">
        <f aca="false">LEN(B129)</f>
        <v>19</v>
      </c>
      <c r="G129" s="1" t="n">
        <v>1</v>
      </c>
      <c r="K129" s="0" t="s">
        <v>439</v>
      </c>
      <c r="L129" s="0" t="s">
        <v>440</v>
      </c>
    </row>
    <row r="130" customFormat="false" ht="15" hidden="false" customHeight="false" outlineLevel="0" collapsed="false">
      <c r="A130" s="1" t="s">
        <v>441</v>
      </c>
      <c r="B130" s="1" t="s">
        <v>442</v>
      </c>
      <c r="C130" s="1" t="str">
        <f aca="false">IF(G130=0,E130,B130)</f>
        <v>DISEÑO VECTORIAL II</v>
      </c>
      <c r="D130" s="1" t="n">
        <f aca="false">LEN(C130)</f>
        <v>19</v>
      </c>
      <c r="E130" s="1" t="s">
        <v>442</v>
      </c>
      <c r="F130" s="1" t="n">
        <f aca="false">LEN(B130)</f>
        <v>19</v>
      </c>
      <c r="G130" s="1" t="n">
        <v>1</v>
      </c>
      <c r="K130" s="0" t="s">
        <v>443</v>
      </c>
      <c r="L130" s="0" t="s">
        <v>444</v>
      </c>
    </row>
    <row r="131" customFormat="false" ht="15" hidden="false" customHeight="false" outlineLevel="0" collapsed="false">
      <c r="A131" s="1" t="s">
        <v>445</v>
      </c>
      <c r="B131" s="1" t="s">
        <v>446</v>
      </c>
      <c r="C131" s="1" t="str">
        <f aca="false">IF(G131=0,E131,B131)</f>
        <v>DISEÑO WEB</v>
      </c>
      <c r="D131" s="1" t="n">
        <f aca="false">LEN(C131)</f>
        <v>11</v>
      </c>
      <c r="E131" s="1" t="s">
        <v>446</v>
      </c>
      <c r="F131" s="1" t="n">
        <f aca="false">LEN(B131)</f>
        <v>11</v>
      </c>
      <c r="G131" s="1" t="n">
        <v>1</v>
      </c>
      <c r="K131" s="0" t="s">
        <v>447</v>
      </c>
      <c r="L131" s="0" t="s">
        <v>448</v>
      </c>
    </row>
    <row r="132" customFormat="false" ht="15" hidden="false" customHeight="false" outlineLevel="0" collapsed="false">
      <c r="A132" s="5" t="s">
        <v>449</v>
      </c>
      <c r="B132" s="1" t="s">
        <v>216</v>
      </c>
      <c r="C132" s="1" t="str">
        <f aca="false">IF(G132=0,E132,B132)</f>
        <v>DIVE CULT ENSE ESPA</v>
      </c>
      <c r="D132" s="1" t="n">
        <f aca="false">LEN(C132)</f>
        <v>19</v>
      </c>
      <c r="E132" s="1" t="s">
        <v>217</v>
      </c>
      <c r="F132" s="1" t="n">
        <f aca="false">LEN(B132)</f>
        <v>46</v>
      </c>
      <c r="G132" s="1" t="n">
        <v>0</v>
      </c>
      <c r="H132" s="6" t="n">
        <v>3</v>
      </c>
      <c r="I132" s="6"/>
      <c r="K132" s="0" t="s">
        <v>447</v>
      </c>
      <c r="L132" s="0" t="s">
        <v>448</v>
      </c>
    </row>
    <row r="133" customFormat="false" ht="15" hidden="false" customHeight="false" outlineLevel="0" collapsed="false">
      <c r="A133" s="1" t="s">
        <v>450</v>
      </c>
      <c r="B133" s="1" t="s">
        <v>451</v>
      </c>
      <c r="C133" s="1" t="str">
        <f aca="false">IF(G133=0,E133,B133)</f>
        <v>DOCENCIA UNIVERSITARIA</v>
      </c>
      <c r="D133" s="1" t="n">
        <f aca="false">LEN(C133)</f>
        <v>22</v>
      </c>
      <c r="E133" s="1" t="s">
        <v>451</v>
      </c>
      <c r="F133" s="1" t="n">
        <f aca="false">LEN(B133)</f>
        <v>22</v>
      </c>
      <c r="G133" s="1" t="n">
        <v>1</v>
      </c>
      <c r="K133" s="0" t="s">
        <v>452</v>
      </c>
      <c r="L133" s="0" t="s">
        <v>453</v>
      </c>
    </row>
    <row r="134" customFormat="false" ht="15" hidden="false" customHeight="false" outlineLevel="0" collapsed="false">
      <c r="A134" s="1" t="s">
        <v>454</v>
      </c>
      <c r="B134" s="1" t="s">
        <v>220</v>
      </c>
      <c r="C134" s="1" t="str">
        <f aca="false">IF(G134=0,E134,B134)</f>
        <v>ECOL GEST AMBI ENSE CIEN NA</v>
      </c>
      <c r="D134" s="1" t="n">
        <f aca="false">LEN(C134)</f>
        <v>27</v>
      </c>
      <c r="E134" s="1" t="s">
        <v>221</v>
      </c>
      <c r="F134" s="1" t="n">
        <f aca="false">LEN(B134)</f>
        <v>72</v>
      </c>
      <c r="G134" s="1" t="n">
        <v>0</v>
      </c>
      <c r="H134" s="0" t="n">
        <v>3</v>
      </c>
      <c r="K134" s="0" t="s">
        <v>455</v>
      </c>
      <c r="L134" s="0" t="s">
        <v>456</v>
      </c>
    </row>
    <row r="135" customFormat="false" ht="15" hidden="false" customHeight="false" outlineLevel="0" collapsed="false">
      <c r="A135" s="5" t="s">
        <v>457</v>
      </c>
      <c r="B135" s="1" t="s">
        <v>224</v>
      </c>
      <c r="C135" s="1" t="str">
        <f aca="false">IF(G135=0,E135,B135)</f>
        <v>ECUA DIFE MODE MATE</v>
      </c>
      <c r="D135" s="1" t="n">
        <f aca="false">LEN(C135)</f>
        <v>19</v>
      </c>
      <c r="E135" s="1" t="s">
        <v>225</v>
      </c>
      <c r="F135" s="1" t="n">
        <f aca="false">LEN(B135)</f>
        <v>46</v>
      </c>
      <c r="G135" s="1" t="n">
        <v>0</v>
      </c>
      <c r="H135" s="6" t="n">
        <v>3</v>
      </c>
      <c r="K135" s="0" t="s">
        <v>458</v>
      </c>
      <c r="L135" s="0" t="s">
        <v>459</v>
      </c>
    </row>
    <row r="136" customFormat="false" ht="15" hidden="false" customHeight="false" outlineLevel="0" collapsed="false">
      <c r="A136" s="7" t="s">
        <v>460</v>
      </c>
      <c r="B136" s="1" t="s">
        <v>228</v>
      </c>
      <c r="C136" s="1" t="str">
        <f aca="false">IF(G136=0,E136,B136)</f>
        <v>EDUC AMBI PROY ECO- I II CI</v>
      </c>
      <c r="D136" s="1" t="n">
        <f aca="false">LEN(C136)</f>
        <v>27</v>
      </c>
      <c r="E136" s="1" t="s">
        <v>229</v>
      </c>
      <c r="F136" s="1" t="n">
        <f aca="false">LEN(B136)</f>
        <v>64</v>
      </c>
      <c r="G136" s="1" t="n">
        <v>0</v>
      </c>
      <c r="K136" s="0" t="s">
        <v>461</v>
      </c>
      <c r="L136" s="0" t="s">
        <v>462</v>
      </c>
    </row>
    <row r="137" customFormat="false" ht="15" hidden="false" customHeight="false" outlineLevel="0" collapsed="false">
      <c r="A137" s="1" t="s">
        <v>463</v>
      </c>
      <c r="B137" s="1" t="s">
        <v>231</v>
      </c>
      <c r="C137" s="1" t="str">
        <f aca="false">IF(G137=0,E137,B137)</f>
        <v>EDUC CIEN SOST ODS</v>
      </c>
      <c r="D137" s="1" t="n">
        <f aca="false">LEN(C137)</f>
        <v>18</v>
      </c>
      <c r="E137" s="1" t="s">
        <v>232</v>
      </c>
      <c r="F137" s="1" t="n">
        <f aca="false">LEN(B137)</f>
        <v>53</v>
      </c>
      <c r="G137" s="1" t="n">
        <v>0</v>
      </c>
      <c r="K137" s="0" t="s">
        <v>464</v>
      </c>
      <c r="L137" s="0" t="s">
        <v>465</v>
      </c>
    </row>
    <row r="138" customFormat="false" ht="15" hidden="false" customHeight="false" outlineLevel="0" collapsed="false">
      <c r="A138" s="7" t="s">
        <v>466</v>
      </c>
      <c r="B138" s="1" t="s">
        <v>234</v>
      </c>
      <c r="C138" s="1" t="str">
        <f aca="false">IF(G138=0,E138,B138)</f>
        <v>EDUC EMOC HABI VIDA INFA</v>
      </c>
      <c r="D138" s="1" t="n">
        <f aca="false">LEN(C138)</f>
        <v>24</v>
      </c>
      <c r="E138" s="1" t="s">
        <v>235</v>
      </c>
      <c r="F138" s="1" t="n">
        <f aca="false">LEN(B138)</f>
        <v>61</v>
      </c>
      <c r="G138" s="1" t="n">
        <v>0</v>
      </c>
      <c r="K138" s="0" t="s">
        <v>467</v>
      </c>
      <c r="L138" s="0" t="s">
        <v>468</v>
      </c>
    </row>
    <row r="139" customFormat="false" ht="15" hidden="false" customHeight="false" outlineLevel="0" collapsed="false">
      <c r="A139" s="1" t="s">
        <v>469</v>
      </c>
      <c r="B139" s="1" t="s">
        <v>237</v>
      </c>
      <c r="C139" s="1" t="str">
        <f aca="false">IF(G139=0,E139,B139)</f>
        <v>EDUC INCL ENTO NEUR</v>
      </c>
      <c r="D139" s="1" t="n">
        <f aca="false">LEN(C139)</f>
        <v>19</v>
      </c>
      <c r="E139" s="1" t="s">
        <v>238</v>
      </c>
      <c r="F139" s="1" t="n">
        <f aca="false">LEN(B139)</f>
        <v>48</v>
      </c>
      <c r="G139" s="1" t="n">
        <v>0</v>
      </c>
      <c r="K139" s="0" t="s">
        <v>470</v>
      </c>
      <c r="L139" s="0" t="s">
        <v>471</v>
      </c>
    </row>
    <row r="140" customFormat="false" ht="15" hidden="false" customHeight="false" outlineLevel="0" collapsed="false">
      <c r="A140" s="7" t="s">
        <v>472</v>
      </c>
      <c r="B140" s="1" t="s">
        <v>240</v>
      </c>
      <c r="C140" s="1" t="str">
        <f aca="false">IF(G140=0,E140,B140)</f>
        <v>EDUC SOST CULT PAZ</v>
      </c>
      <c r="D140" s="1" t="n">
        <f aca="false">LEN(C140)</f>
        <v>18</v>
      </c>
      <c r="E140" s="1" t="s">
        <v>241</v>
      </c>
      <c r="F140" s="1" t="n">
        <f aca="false">LEN(B140)</f>
        <v>52</v>
      </c>
      <c r="G140" s="1" t="n">
        <v>0</v>
      </c>
      <c r="H140" s="6" t="n">
        <v>3</v>
      </c>
      <c r="K140" s="0" t="s">
        <v>473</v>
      </c>
      <c r="L140" s="0" t="s">
        <v>474</v>
      </c>
    </row>
    <row r="141" customFormat="false" ht="15" hidden="false" customHeight="false" outlineLevel="0" collapsed="false">
      <c r="A141" s="9" t="s">
        <v>475</v>
      </c>
      <c r="B141" s="1" t="s">
        <v>476</v>
      </c>
      <c r="C141" s="1" t="str">
        <f aca="false">IF(G141=0,E141,B141)</f>
        <v>EJERCICIOS JURÍDICOS I</v>
      </c>
      <c r="D141" s="1" t="n">
        <f aca="false">LEN(C141)</f>
        <v>22</v>
      </c>
      <c r="E141" s="1" t="s">
        <v>476</v>
      </c>
      <c r="F141" s="1" t="n">
        <f aca="false">LEN(B141)</f>
        <v>22</v>
      </c>
      <c r="G141" s="1" t="n">
        <v>1</v>
      </c>
      <c r="H141" s="10" t="n">
        <v>3</v>
      </c>
      <c r="K141" s="0" t="s">
        <v>477</v>
      </c>
      <c r="L141" s="0" t="s">
        <v>478</v>
      </c>
    </row>
    <row r="142" customFormat="false" ht="15" hidden="false" customHeight="false" outlineLevel="0" collapsed="false">
      <c r="A142" s="9" t="s">
        <v>479</v>
      </c>
      <c r="B142" s="1" t="s">
        <v>480</v>
      </c>
      <c r="C142" s="1" t="str">
        <f aca="false">IF(G142=0,E142,B142)</f>
        <v>EJERCICIOS JURÍDICOS II</v>
      </c>
      <c r="D142" s="1" t="n">
        <f aca="false">LEN(C142)</f>
        <v>23</v>
      </c>
      <c r="E142" s="1" t="s">
        <v>480</v>
      </c>
      <c r="F142" s="1" t="n">
        <f aca="false">LEN(B142)</f>
        <v>23</v>
      </c>
      <c r="G142" s="1" t="n">
        <v>1</v>
      </c>
      <c r="H142" s="10" t="n">
        <v>3</v>
      </c>
      <c r="K142" s="0" t="s">
        <v>481</v>
      </c>
      <c r="L142" s="0" t="s">
        <v>482</v>
      </c>
    </row>
    <row r="143" customFormat="false" ht="15" hidden="false" customHeight="false" outlineLevel="0" collapsed="false">
      <c r="A143" s="1" t="s">
        <v>483</v>
      </c>
      <c r="B143" s="1" t="s">
        <v>484</v>
      </c>
      <c r="C143" s="1" t="str">
        <f aca="false">IF(G143=0,E143,B143)</f>
        <v>ELECTIVA</v>
      </c>
      <c r="D143" s="1" t="n">
        <f aca="false">LEN(C143)</f>
        <v>8</v>
      </c>
      <c r="E143" s="1" t="s">
        <v>484</v>
      </c>
      <c r="F143" s="1" t="n">
        <f aca="false">LEN(B143)</f>
        <v>8</v>
      </c>
      <c r="G143" s="1" t="n">
        <v>1</v>
      </c>
      <c r="H143" s="0" t="n">
        <v>3</v>
      </c>
      <c r="K143" s="0" t="s">
        <v>485</v>
      </c>
      <c r="L143" s="0" t="s">
        <v>486</v>
      </c>
    </row>
    <row r="144" customFormat="false" ht="15" hidden="false" customHeight="false" outlineLevel="0" collapsed="false">
      <c r="A144" s="1" t="s">
        <v>487</v>
      </c>
      <c r="B144" s="1" t="s">
        <v>484</v>
      </c>
      <c r="C144" s="1" t="str">
        <f aca="false">IF(G144=0,E144,B144)</f>
        <v>ELECTIVA</v>
      </c>
      <c r="D144" s="1" t="n">
        <f aca="false">LEN(C144)</f>
        <v>8</v>
      </c>
      <c r="E144" s="1" t="s">
        <v>484</v>
      </c>
      <c r="F144" s="1" t="n">
        <f aca="false">LEN(B144)</f>
        <v>8</v>
      </c>
      <c r="G144" s="1" t="n">
        <v>1</v>
      </c>
      <c r="H144" s="0" t="n">
        <v>3</v>
      </c>
      <c r="K144" s="0" t="s">
        <v>488</v>
      </c>
      <c r="L144" s="0" t="s">
        <v>489</v>
      </c>
    </row>
    <row r="145" customFormat="false" ht="15" hidden="false" customHeight="false" outlineLevel="0" collapsed="false">
      <c r="A145" s="1" t="s">
        <v>490</v>
      </c>
      <c r="B145" s="1" t="s">
        <v>484</v>
      </c>
      <c r="C145" s="1" t="str">
        <f aca="false">IF(G145=0,E145,B145)</f>
        <v>ELECTIVA</v>
      </c>
      <c r="D145" s="1" t="n">
        <f aca="false">LEN(C145)</f>
        <v>8</v>
      </c>
      <c r="E145" s="1" t="s">
        <v>484</v>
      </c>
      <c r="F145" s="1" t="n">
        <f aca="false">LEN(B145)</f>
        <v>8</v>
      </c>
      <c r="G145" s="1" t="n">
        <v>1</v>
      </c>
      <c r="H145" s="0" t="n">
        <v>3</v>
      </c>
      <c r="K145" s="0" t="s">
        <v>488</v>
      </c>
      <c r="L145" s="0" t="s">
        <v>489</v>
      </c>
    </row>
    <row r="146" customFormat="false" ht="15" hidden="false" customHeight="false" outlineLevel="0" collapsed="false">
      <c r="A146" s="1" t="s">
        <v>491</v>
      </c>
      <c r="B146" s="1" t="s">
        <v>484</v>
      </c>
      <c r="C146" s="1" t="str">
        <f aca="false">IF(G146=0,E146,B146)</f>
        <v>ELECTIVA</v>
      </c>
      <c r="D146" s="1" t="n">
        <f aca="false">LEN(C146)</f>
        <v>8</v>
      </c>
      <c r="E146" s="1" t="s">
        <v>484</v>
      </c>
      <c r="F146" s="1" t="n">
        <f aca="false">LEN(B146)</f>
        <v>8</v>
      </c>
      <c r="G146" s="1" t="n">
        <v>1</v>
      </c>
      <c r="H146" s="0" t="n">
        <v>3</v>
      </c>
      <c r="K146" s="0" t="s">
        <v>492</v>
      </c>
      <c r="L146" s="0" t="s">
        <v>493</v>
      </c>
    </row>
    <row r="147" customFormat="false" ht="15" hidden="false" customHeight="false" outlineLevel="0" collapsed="false">
      <c r="A147" s="1" t="s">
        <v>494</v>
      </c>
      <c r="B147" s="1" t="s">
        <v>484</v>
      </c>
      <c r="C147" s="1" t="str">
        <f aca="false">IF(G147=0,E147,B147)</f>
        <v>ELECTIVA</v>
      </c>
      <c r="D147" s="1" t="n">
        <f aca="false">LEN(C147)</f>
        <v>8</v>
      </c>
      <c r="E147" s="1" t="s">
        <v>484</v>
      </c>
      <c r="F147" s="1" t="n">
        <f aca="false">LEN(B147)</f>
        <v>8</v>
      </c>
      <c r="G147" s="1" t="n">
        <v>1</v>
      </c>
      <c r="K147" s="0" t="s">
        <v>495</v>
      </c>
      <c r="L147" s="0" t="s">
        <v>496</v>
      </c>
    </row>
    <row r="148" customFormat="false" ht="15" hidden="false" customHeight="false" outlineLevel="0" collapsed="false">
      <c r="A148" s="1" t="s">
        <v>497</v>
      </c>
      <c r="B148" s="1" t="s">
        <v>484</v>
      </c>
      <c r="C148" s="1" t="str">
        <f aca="false">IF(G148=0,E148,B148)</f>
        <v>ELECTIVA</v>
      </c>
      <c r="D148" s="1" t="n">
        <f aca="false">LEN(C148)</f>
        <v>8</v>
      </c>
      <c r="E148" s="1" t="s">
        <v>484</v>
      </c>
      <c r="F148" s="1" t="n">
        <f aca="false">LEN(B148)</f>
        <v>8</v>
      </c>
      <c r="G148" s="1" t="n">
        <v>1</v>
      </c>
      <c r="K148" s="0" t="s">
        <v>498</v>
      </c>
      <c r="L148" s="0" t="s">
        <v>499</v>
      </c>
    </row>
    <row r="149" customFormat="false" ht="15" hidden="false" customHeight="false" outlineLevel="0" collapsed="false">
      <c r="A149" s="1" t="s">
        <v>500</v>
      </c>
      <c r="B149" s="1" t="s">
        <v>501</v>
      </c>
      <c r="C149" s="1" t="str">
        <f aca="false">IF(G149=0,E149,B149)</f>
        <v>ELECTIVA 2</v>
      </c>
      <c r="D149" s="1" t="n">
        <f aca="false">LEN(C149)</f>
        <v>10</v>
      </c>
      <c r="E149" s="1" t="s">
        <v>501</v>
      </c>
      <c r="F149" s="1" t="n">
        <f aca="false">LEN(B149)</f>
        <v>10</v>
      </c>
      <c r="G149" s="1" t="n">
        <v>1</v>
      </c>
      <c r="K149" s="0" t="s">
        <v>502</v>
      </c>
      <c r="L149" s="0" t="s">
        <v>503</v>
      </c>
    </row>
    <row r="150" customFormat="false" ht="15" hidden="false" customHeight="false" outlineLevel="0" collapsed="false">
      <c r="A150" s="1" t="s">
        <v>504</v>
      </c>
      <c r="B150" s="1" t="s">
        <v>505</v>
      </c>
      <c r="C150" s="1" t="str">
        <f aca="false">IF(G150=0,E150,B150)</f>
        <v>ELECTIVA AVANZADA</v>
      </c>
      <c r="D150" s="1" t="n">
        <f aca="false">LEN(C150)</f>
        <v>17</v>
      </c>
      <c r="E150" s="1" t="s">
        <v>505</v>
      </c>
      <c r="F150" s="1" t="n">
        <f aca="false">LEN(B150)</f>
        <v>17</v>
      </c>
      <c r="G150" s="1" t="n">
        <v>1</v>
      </c>
      <c r="H150" s="0" t="n">
        <v>3</v>
      </c>
      <c r="K150" s="0" t="s">
        <v>506</v>
      </c>
      <c r="L150" s="0" t="s">
        <v>507</v>
      </c>
    </row>
    <row r="151" customFormat="false" ht="15" hidden="false" customHeight="false" outlineLevel="0" collapsed="false">
      <c r="A151" s="5" t="s">
        <v>508</v>
      </c>
      <c r="B151" s="1" t="s">
        <v>505</v>
      </c>
      <c r="C151" s="1" t="str">
        <f aca="false">IF(G151=0,E151,B151)</f>
        <v>ELECTIVA AVANZADA</v>
      </c>
      <c r="D151" s="1" t="n">
        <f aca="false">LEN(C151)</f>
        <v>17</v>
      </c>
      <c r="E151" s="1" t="s">
        <v>505</v>
      </c>
      <c r="F151" s="1" t="n">
        <f aca="false">LEN(B151)</f>
        <v>17</v>
      </c>
      <c r="G151" s="1" t="n">
        <v>1</v>
      </c>
      <c r="H151" s="6" t="n">
        <v>3</v>
      </c>
      <c r="I151" s="6"/>
      <c r="K151" s="0" t="s">
        <v>509</v>
      </c>
      <c r="L151" s="0" t="s">
        <v>510</v>
      </c>
    </row>
    <row r="152" customFormat="false" ht="15" hidden="false" customHeight="false" outlineLevel="0" collapsed="false">
      <c r="A152" s="7" t="s">
        <v>511</v>
      </c>
      <c r="B152" s="1" t="s">
        <v>505</v>
      </c>
      <c r="C152" s="1" t="str">
        <f aca="false">IF(G152=0,E152,B152)</f>
        <v>ELECTIVA AVANZADA</v>
      </c>
      <c r="D152" s="1" t="n">
        <f aca="false">LEN(C152)</f>
        <v>17</v>
      </c>
      <c r="E152" s="1" t="s">
        <v>505</v>
      </c>
      <c r="F152" s="1" t="n">
        <f aca="false">LEN(B152)</f>
        <v>17</v>
      </c>
      <c r="G152" s="1" t="n">
        <v>1</v>
      </c>
      <c r="H152" s="6" t="n">
        <v>3</v>
      </c>
      <c r="I152" s="6"/>
      <c r="K152" s="0" t="s">
        <v>512</v>
      </c>
      <c r="L152" s="0" t="s">
        <v>513</v>
      </c>
    </row>
    <row r="153" customFormat="false" ht="15" hidden="false" customHeight="false" outlineLevel="0" collapsed="false">
      <c r="A153" s="7" t="s">
        <v>514</v>
      </c>
      <c r="B153" s="1" t="s">
        <v>505</v>
      </c>
      <c r="C153" s="1" t="str">
        <f aca="false">IF(G153=0,E153,B153)</f>
        <v>ELECTIVA AVANZADA</v>
      </c>
      <c r="D153" s="1" t="n">
        <f aca="false">LEN(C153)</f>
        <v>17</v>
      </c>
      <c r="E153" s="1" t="s">
        <v>505</v>
      </c>
      <c r="F153" s="1" t="n">
        <f aca="false">LEN(B153)</f>
        <v>17</v>
      </c>
      <c r="G153" s="1" t="n">
        <v>1</v>
      </c>
      <c r="H153" s="6" t="n">
        <v>3</v>
      </c>
      <c r="K153" s="0" t="s">
        <v>515</v>
      </c>
      <c r="L153" s="0" t="s">
        <v>516</v>
      </c>
    </row>
    <row r="154" customFormat="false" ht="15" hidden="false" customHeight="false" outlineLevel="0" collapsed="false">
      <c r="A154" s="5" t="s">
        <v>517</v>
      </c>
      <c r="B154" s="1" t="s">
        <v>505</v>
      </c>
      <c r="C154" s="1" t="str">
        <f aca="false">IF(G154=0,E154,B154)</f>
        <v>ELECTIVA AVANZADA</v>
      </c>
      <c r="D154" s="1" t="n">
        <f aca="false">LEN(C154)</f>
        <v>17</v>
      </c>
      <c r="E154" s="1" t="s">
        <v>505</v>
      </c>
      <c r="F154" s="1" t="n">
        <f aca="false">LEN(B154)</f>
        <v>17</v>
      </c>
      <c r="G154" s="1" t="n">
        <v>1</v>
      </c>
      <c r="H154" s="6" t="n">
        <v>3</v>
      </c>
      <c r="K154" s="0" t="s">
        <v>518</v>
      </c>
      <c r="L154" s="0" t="s">
        <v>519</v>
      </c>
    </row>
    <row r="155" customFormat="false" ht="15" hidden="false" customHeight="false" outlineLevel="0" collapsed="false">
      <c r="A155" s="1" t="s">
        <v>520</v>
      </c>
      <c r="B155" s="1" t="s">
        <v>521</v>
      </c>
      <c r="C155" s="1" t="str">
        <f aca="false">IF(G155=0,E155,B155)</f>
        <v>ELECTIVA DE IDIOMA</v>
      </c>
      <c r="D155" s="1" t="n">
        <f aca="false">LEN(C155)</f>
        <v>18</v>
      </c>
      <c r="E155" s="1" t="s">
        <v>521</v>
      </c>
      <c r="F155" s="1" t="n">
        <f aca="false">LEN(B155)</f>
        <v>18</v>
      </c>
      <c r="G155" s="1" t="n">
        <v>1</v>
      </c>
      <c r="K155" s="0" t="s">
        <v>522</v>
      </c>
      <c r="L155" s="0" t="s">
        <v>523</v>
      </c>
    </row>
    <row r="156" customFormat="false" ht="15" hidden="false" customHeight="false" outlineLevel="0" collapsed="false">
      <c r="A156" s="1" t="s">
        <v>524</v>
      </c>
      <c r="B156" s="1" t="s">
        <v>243</v>
      </c>
      <c r="C156" s="1" t="str">
        <f aca="false">IF(G156=0,E156,B156)</f>
        <v>ELEC CIEN EDUC</v>
      </c>
      <c r="D156" s="1" t="n">
        <f aca="false">LEN(C156)</f>
        <v>14</v>
      </c>
      <c r="E156" s="1" t="s">
        <v>244</v>
      </c>
      <c r="F156" s="1" t="n">
        <f aca="false">LEN(B156)</f>
        <v>38</v>
      </c>
      <c r="G156" s="1" t="n">
        <v>0</v>
      </c>
      <c r="H156" s="0" t="n">
        <v>3</v>
      </c>
      <c r="K156" s="0" t="s">
        <v>525</v>
      </c>
      <c r="L156" s="0" t="s">
        <v>526</v>
      </c>
    </row>
    <row r="157" customFormat="false" ht="15" hidden="false" customHeight="false" outlineLevel="0" collapsed="false">
      <c r="A157" s="1" t="s">
        <v>527</v>
      </c>
      <c r="B157" s="1" t="s">
        <v>528</v>
      </c>
      <c r="C157" s="1" t="str">
        <f aca="false">IF(G157=0,E157,B157)</f>
        <v>EMPRENDIMIENTO EN EDUCACIÓN</v>
      </c>
      <c r="D157" s="1" t="n">
        <f aca="false">LEN(C157)</f>
        <v>27</v>
      </c>
      <c r="E157" s="1" t="s">
        <v>528</v>
      </c>
      <c r="F157" s="1" t="n">
        <f aca="false">LEN(B157)</f>
        <v>27</v>
      </c>
      <c r="G157" s="1" t="n">
        <v>1</v>
      </c>
      <c r="K157" s="0" t="s">
        <v>529</v>
      </c>
      <c r="L157" s="0" t="s">
        <v>530</v>
      </c>
    </row>
    <row r="158" customFormat="false" ht="15" hidden="false" customHeight="false" outlineLevel="0" collapsed="false">
      <c r="A158" s="5" t="s">
        <v>531</v>
      </c>
      <c r="B158" s="1" t="s">
        <v>532</v>
      </c>
      <c r="C158" s="1" t="str">
        <f aca="false">IF(G158=0,E158,B158)</f>
        <v>ENSEÑANZA DE LA GEOMETRÍA</v>
      </c>
      <c r="D158" s="1" t="n">
        <f aca="false">LEN(C158)</f>
        <v>25</v>
      </c>
      <c r="E158" s="1" t="s">
        <v>532</v>
      </c>
      <c r="F158" s="1" t="n">
        <f aca="false">LEN(B158)</f>
        <v>25</v>
      </c>
      <c r="G158" s="1" t="n">
        <v>1</v>
      </c>
      <c r="H158" s="6" t="n">
        <v>3</v>
      </c>
      <c r="K158" s="0" t="s">
        <v>533</v>
      </c>
      <c r="L158" s="0" t="s">
        <v>534</v>
      </c>
    </row>
    <row r="159" customFormat="false" ht="15" hidden="false" customHeight="false" outlineLevel="0" collapsed="false">
      <c r="A159" s="7" t="s">
        <v>535</v>
      </c>
      <c r="B159" s="1" t="s">
        <v>246</v>
      </c>
      <c r="C159" s="1" t="str">
        <f aca="false">IF(G159=0,E159,B159)</f>
        <v>ENSE MATE I</v>
      </c>
      <c r="D159" s="1" t="n">
        <f aca="false">LEN(C159)</f>
        <v>11</v>
      </c>
      <c r="E159" s="1" t="s">
        <v>247</v>
      </c>
      <c r="F159" s="1" t="n">
        <f aca="false">LEN(B159)</f>
        <v>28</v>
      </c>
      <c r="G159" s="1" t="n">
        <v>0</v>
      </c>
      <c r="H159" s="6" t="n">
        <v>3</v>
      </c>
      <c r="K159" s="0" t="s">
        <v>533</v>
      </c>
      <c r="L159" s="0" t="s">
        <v>534</v>
      </c>
    </row>
    <row r="160" customFormat="false" ht="15" hidden="false" customHeight="false" outlineLevel="0" collapsed="false">
      <c r="A160" s="7" t="s">
        <v>536</v>
      </c>
      <c r="B160" s="1" t="s">
        <v>250</v>
      </c>
      <c r="C160" s="1" t="str">
        <f aca="false">IF(G160=0,E160,B160)</f>
        <v>ENSE CIEN NATU I</v>
      </c>
      <c r="D160" s="1" t="n">
        <f aca="false">LEN(C160)</f>
        <v>16</v>
      </c>
      <c r="E160" s="1" t="s">
        <v>251</v>
      </c>
      <c r="F160" s="1" t="n">
        <f aca="false">LEN(B160)</f>
        <v>37</v>
      </c>
      <c r="G160" s="1" t="n">
        <v>0</v>
      </c>
      <c r="H160" s="6" t="n">
        <v>3</v>
      </c>
      <c r="K160" s="0" t="s">
        <v>537</v>
      </c>
      <c r="L160" s="0" t="s">
        <v>538</v>
      </c>
    </row>
    <row r="161" customFormat="false" ht="15" hidden="false" customHeight="false" outlineLevel="0" collapsed="false">
      <c r="A161" s="7" t="s">
        <v>539</v>
      </c>
      <c r="B161" s="1" t="s">
        <v>254</v>
      </c>
      <c r="C161" s="1" t="str">
        <f aca="false">IF(G161=0,E161,B161)</f>
        <v>ENSE CIEN NATU II</v>
      </c>
      <c r="D161" s="1" t="n">
        <f aca="false">LEN(C161)</f>
        <v>17</v>
      </c>
      <c r="E161" s="1" t="s">
        <v>255</v>
      </c>
      <c r="F161" s="1" t="n">
        <f aca="false">LEN(B161)</f>
        <v>38</v>
      </c>
      <c r="G161" s="1" t="n">
        <v>0</v>
      </c>
      <c r="H161" s="6" t="n">
        <v>3</v>
      </c>
      <c r="K161" s="0" t="s">
        <v>537</v>
      </c>
      <c r="L161" s="0" t="s">
        <v>538</v>
      </c>
    </row>
    <row r="162" customFormat="false" ht="15" hidden="false" customHeight="false" outlineLevel="0" collapsed="false">
      <c r="A162" s="7" t="s">
        <v>540</v>
      </c>
      <c r="B162" s="1" t="s">
        <v>257</v>
      </c>
      <c r="C162" s="1" t="str">
        <f aca="false">IF(G162=0,E162,B162)</f>
        <v>ENSE MATE II</v>
      </c>
      <c r="D162" s="1" t="n">
        <f aca="false">LEN(C162)</f>
        <v>12</v>
      </c>
      <c r="E162" s="1" t="s">
        <v>258</v>
      </c>
      <c r="F162" s="1" t="n">
        <f aca="false">LEN(B162)</f>
        <v>31</v>
      </c>
      <c r="G162" s="1" t="n">
        <v>0</v>
      </c>
      <c r="H162" s="6" t="n">
        <v>3</v>
      </c>
      <c r="K162" s="0" t="s">
        <v>541</v>
      </c>
      <c r="L162" s="0" t="s">
        <v>542</v>
      </c>
    </row>
    <row r="163" customFormat="false" ht="15" hidden="false" customHeight="false" outlineLevel="0" collapsed="false">
      <c r="A163" s="7" t="s">
        <v>543</v>
      </c>
      <c r="B163" s="1" t="s">
        <v>261</v>
      </c>
      <c r="C163" s="1" t="str">
        <f aca="false">IF(G163=0,E163,B163)</f>
        <v>ENSE ESTU SOCI I</v>
      </c>
      <c r="D163" s="1" t="n">
        <f aca="false">LEN(C163)</f>
        <v>16</v>
      </c>
      <c r="E163" s="1" t="s">
        <v>262</v>
      </c>
      <c r="F163" s="1" t="n">
        <f aca="false">LEN(B163)</f>
        <v>36</v>
      </c>
      <c r="G163" s="1" t="n">
        <v>0</v>
      </c>
      <c r="H163" s="6" t="n">
        <v>3</v>
      </c>
      <c r="K163" s="0" t="s">
        <v>544</v>
      </c>
      <c r="L163" s="0" t="s">
        <v>545</v>
      </c>
    </row>
    <row r="164" customFormat="false" ht="15" hidden="false" customHeight="false" outlineLevel="0" collapsed="false">
      <c r="A164" s="7" t="s">
        <v>546</v>
      </c>
      <c r="B164" s="1" t="s">
        <v>265</v>
      </c>
      <c r="C164" s="1" t="str">
        <f aca="false">IF(G164=0,E164,B164)</f>
        <v>ENSE ESTU SOCI II</v>
      </c>
      <c r="D164" s="1" t="n">
        <f aca="false">LEN(C164)</f>
        <v>17</v>
      </c>
      <c r="E164" s="1" t="s">
        <v>266</v>
      </c>
      <c r="F164" s="1" t="n">
        <f aca="false">LEN(B164)</f>
        <v>37</v>
      </c>
      <c r="G164" s="1" t="n">
        <v>0</v>
      </c>
      <c r="H164" s="6" t="n">
        <v>3</v>
      </c>
      <c r="K164" s="0" t="s">
        <v>547</v>
      </c>
      <c r="L164" s="0" t="s">
        <v>548</v>
      </c>
    </row>
    <row r="165" customFormat="false" ht="15" hidden="false" customHeight="false" outlineLevel="0" collapsed="false">
      <c r="A165" s="7" t="s">
        <v>549</v>
      </c>
      <c r="B165" s="1" t="s">
        <v>550</v>
      </c>
      <c r="C165" s="1" t="str">
        <f aca="false">IF(G165=0,E165,B165)</f>
        <v>ENSEÑANZA DEL ESPAÑOL I</v>
      </c>
      <c r="D165" s="1" t="n">
        <f aca="false">LEN(C165)</f>
        <v>23</v>
      </c>
      <c r="E165" s="1" t="s">
        <v>550</v>
      </c>
      <c r="F165" s="1" t="n">
        <f aca="false">LEN(B165)</f>
        <v>23</v>
      </c>
      <c r="G165" s="1" t="n">
        <v>1</v>
      </c>
      <c r="H165" s="6" t="n">
        <v>3</v>
      </c>
      <c r="K165" s="0" t="s">
        <v>551</v>
      </c>
      <c r="L165" s="0" t="s">
        <v>552</v>
      </c>
    </row>
    <row r="166" customFormat="false" ht="15" hidden="false" customHeight="false" outlineLevel="0" collapsed="false">
      <c r="A166" s="7" t="s">
        <v>553</v>
      </c>
      <c r="B166" s="1" t="s">
        <v>554</v>
      </c>
      <c r="C166" s="1" t="str">
        <f aca="false">IF(G166=0,E166,B166)</f>
        <v>ENSEÑANZA DEL ESPAÑOL II</v>
      </c>
      <c r="D166" s="1" t="n">
        <f aca="false">LEN(C166)</f>
        <v>24</v>
      </c>
      <c r="E166" s="1" t="s">
        <v>554</v>
      </c>
      <c r="F166" s="1" t="n">
        <f aca="false">LEN(B166)</f>
        <v>24</v>
      </c>
      <c r="G166" s="1" t="n">
        <v>1</v>
      </c>
      <c r="H166" s="6" t="n">
        <v>3</v>
      </c>
      <c r="K166" s="0" t="s">
        <v>555</v>
      </c>
      <c r="L166" s="0" t="s">
        <v>556</v>
      </c>
    </row>
    <row r="167" customFormat="false" ht="15" hidden="false" customHeight="false" outlineLevel="0" collapsed="false">
      <c r="A167" s="1" t="s">
        <v>557</v>
      </c>
      <c r="B167" s="1" t="s">
        <v>269</v>
      </c>
      <c r="C167" s="1" t="str">
        <f aca="false">IF(G167=0,E167,B167)</f>
        <v>ENTO LEGAL EDUC</v>
      </c>
      <c r="D167" s="1" t="n">
        <f aca="false">LEN(C167)</f>
        <v>15</v>
      </c>
      <c r="E167" s="1" t="s">
        <v>270</v>
      </c>
      <c r="F167" s="1" t="n">
        <f aca="false">LEN(B167)</f>
        <v>29</v>
      </c>
      <c r="G167" s="1" t="n">
        <v>0</v>
      </c>
      <c r="H167" s="0" t="n">
        <v>3</v>
      </c>
      <c r="K167" s="0" t="s">
        <v>558</v>
      </c>
      <c r="L167" s="0" t="s">
        <v>559</v>
      </c>
    </row>
    <row r="168" customFormat="false" ht="15" hidden="false" customHeight="false" outlineLevel="0" collapsed="false">
      <c r="A168" s="1" t="s">
        <v>560</v>
      </c>
      <c r="B168" s="1" t="s">
        <v>273</v>
      </c>
      <c r="C168" s="1" t="str">
        <f aca="false">IF(G168=0,E168,B168)</f>
        <v>EPIS E HIST CIEN</v>
      </c>
      <c r="D168" s="1" t="n">
        <f aca="false">LEN(C168)</f>
        <v>16</v>
      </c>
      <c r="E168" s="1" t="s">
        <v>274</v>
      </c>
      <c r="F168" s="1" t="n">
        <f aca="false">LEN(B168)</f>
        <v>38</v>
      </c>
      <c r="G168" s="1" t="n">
        <v>0</v>
      </c>
      <c r="H168" s="0" t="n">
        <v>3</v>
      </c>
      <c r="K168" s="0" t="s">
        <v>561</v>
      </c>
      <c r="L168" s="0" t="s">
        <v>562</v>
      </c>
    </row>
    <row r="169" customFormat="false" ht="15" hidden="false" customHeight="false" outlineLevel="0" collapsed="false">
      <c r="A169" s="5" t="s">
        <v>563</v>
      </c>
      <c r="B169" s="1" t="s">
        <v>277</v>
      </c>
      <c r="C169" s="1" t="str">
        <f aca="false">IF(G169=0,E169,B169)</f>
        <v>ESCR EFEC PROD TEXTOS</v>
      </c>
      <c r="D169" s="1" t="n">
        <f aca="false">LEN(C169)</f>
        <v>21</v>
      </c>
      <c r="E169" s="1" t="s">
        <v>278</v>
      </c>
      <c r="F169" s="1" t="n">
        <f aca="false">LEN(B169)</f>
        <v>41</v>
      </c>
      <c r="G169" s="1" t="n">
        <v>0</v>
      </c>
      <c r="H169" s="6" t="n">
        <v>3</v>
      </c>
      <c r="I169" s="6"/>
      <c r="K169" s="0" t="s">
        <v>564</v>
      </c>
      <c r="L169" s="0" t="s">
        <v>565</v>
      </c>
    </row>
    <row r="170" customFormat="false" ht="15" hidden="false" customHeight="false" outlineLevel="0" collapsed="false">
      <c r="A170" s="13" t="s">
        <v>566</v>
      </c>
      <c r="B170" s="1" t="s">
        <v>281</v>
      </c>
      <c r="C170" s="1" t="str">
        <f aca="false">IF(G170=0,E170,B170)</f>
        <v>ESPA COMO SEGU LENGUA ENFO</v>
      </c>
      <c r="D170" s="1" t="n">
        <f aca="false">LEN(C170)</f>
        <v>27</v>
      </c>
      <c r="E170" s="1" t="s">
        <v>282</v>
      </c>
      <c r="F170" s="1" t="n">
        <f aca="false">LEN(B170)</f>
        <v>65</v>
      </c>
      <c r="G170" s="1" t="n">
        <v>0</v>
      </c>
      <c r="H170" s="14" t="n">
        <v>3</v>
      </c>
      <c r="I170" s="14"/>
      <c r="K170" s="0" t="s">
        <v>567</v>
      </c>
      <c r="L170" s="0" t="s">
        <v>568</v>
      </c>
    </row>
    <row r="171" customFormat="false" ht="15" hidden="false" customHeight="false" outlineLevel="0" collapsed="false">
      <c r="A171" s="15" t="s">
        <v>569</v>
      </c>
      <c r="B171" s="1" t="s">
        <v>284</v>
      </c>
      <c r="C171" s="1" t="str">
        <f aca="false">IF(G171=0,E171,B171)</f>
        <v>ESPA BILI CONT EDUC</v>
      </c>
      <c r="D171" s="1" t="n">
        <f aca="false">LEN(C171)</f>
        <v>19</v>
      </c>
      <c r="E171" s="1" t="s">
        <v>285</v>
      </c>
      <c r="F171" s="1" t="n">
        <f aca="false">LEN(B171)</f>
        <v>44</v>
      </c>
      <c r="G171" s="1" t="n">
        <v>0</v>
      </c>
      <c r="H171" s="14" t="n">
        <v>3</v>
      </c>
      <c r="I171" s="14"/>
      <c r="K171" s="0" t="s">
        <v>570</v>
      </c>
      <c r="L171" s="0" t="s">
        <v>571</v>
      </c>
    </row>
    <row r="172" customFormat="false" ht="15" hidden="false" customHeight="false" outlineLevel="0" collapsed="false">
      <c r="A172" s="16" t="s">
        <v>572</v>
      </c>
      <c r="B172" s="1" t="s">
        <v>288</v>
      </c>
      <c r="C172" s="1" t="str">
        <f aca="false">IF(G172=0,E172,B172)</f>
        <v>ESTA APLI INVEST EDUC</v>
      </c>
      <c r="D172" s="1" t="n">
        <f aca="false">LEN(C172)</f>
        <v>21</v>
      </c>
      <c r="E172" s="1" t="s">
        <v>289</v>
      </c>
      <c r="F172" s="1" t="n">
        <f aca="false">LEN(B172)</f>
        <v>49</v>
      </c>
      <c r="G172" s="1" t="n">
        <v>0</v>
      </c>
      <c r="H172" s="17" t="n">
        <v>3</v>
      </c>
      <c r="I172" s="17"/>
      <c r="K172" s="0" t="s">
        <v>573</v>
      </c>
      <c r="L172" s="0" t="s">
        <v>574</v>
      </c>
    </row>
    <row r="173" customFormat="false" ht="15" hidden="false" customHeight="false" outlineLevel="0" collapsed="false">
      <c r="A173" s="18" t="s">
        <v>575</v>
      </c>
      <c r="B173" s="1" t="s">
        <v>292</v>
      </c>
      <c r="C173" s="1" t="str">
        <f aca="false">IF(G173=0,E173,B173)</f>
        <v>ESTA AVAN APLI INVEST EDUC</v>
      </c>
      <c r="D173" s="1" t="n">
        <f aca="false">LEN(C173)</f>
        <v>26</v>
      </c>
      <c r="E173" s="1" t="s">
        <v>293</v>
      </c>
      <c r="F173" s="1" t="n">
        <f aca="false">LEN(B173)</f>
        <v>58</v>
      </c>
      <c r="G173" s="1" t="n">
        <v>0</v>
      </c>
      <c r="H173" s="19" t="n">
        <v>3</v>
      </c>
      <c r="I173" s="19"/>
      <c r="K173" s="0" t="s">
        <v>576</v>
      </c>
      <c r="L173" s="0" t="s">
        <v>577</v>
      </c>
    </row>
    <row r="174" customFormat="false" ht="15" hidden="false" customHeight="false" outlineLevel="0" collapsed="false">
      <c r="A174" s="13" t="s">
        <v>578</v>
      </c>
      <c r="B174" s="1" t="s">
        <v>579</v>
      </c>
      <c r="C174" s="1" t="str">
        <f aca="false">IF(G174=0,E174,B174)</f>
        <v>ESTADÍSTICA INFERENCIAL</v>
      </c>
      <c r="D174" s="1" t="n">
        <f aca="false">LEN(C174)</f>
        <v>23</v>
      </c>
      <c r="E174" s="1" t="s">
        <v>579</v>
      </c>
      <c r="F174" s="1" t="n">
        <f aca="false">LEN(B174)</f>
        <v>23</v>
      </c>
      <c r="G174" s="1" t="n">
        <v>1</v>
      </c>
      <c r="H174" s="14" t="n">
        <v>3</v>
      </c>
      <c r="I174" s="19"/>
      <c r="K174" s="0" t="s">
        <v>580</v>
      </c>
      <c r="L174" s="0" t="s">
        <v>581</v>
      </c>
    </row>
    <row r="175" customFormat="false" ht="15" hidden="false" customHeight="false" outlineLevel="0" collapsed="false">
      <c r="A175" s="13" t="s">
        <v>582</v>
      </c>
      <c r="B175" s="1" t="s">
        <v>296</v>
      </c>
      <c r="C175" s="1" t="str">
        <f aca="false">IF(G175=0,E175,B175)</f>
        <v>ESTA PROB</v>
      </c>
      <c r="D175" s="1" t="n">
        <f aca="false">LEN(C175)</f>
        <v>9</v>
      </c>
      <c r="E175" s="1" t="s">
        <v>297</v>
      </c>
      <c r="F175" s="1" t="n">
        <f aca="false">LEN(B175)</f>
        <v>28</v>
      </c>
      <c r="G175" s="1" t="n">
        <v>0</v>
      </c>
      <c r="H175" s="14" t="n">
        <v>3</v>
      </c>
      <c r="I175" s="19"/>
      <c r="K175" s="0" t="s">
        <v>583</v>
      </c>
      <c r="L175" s="0" t="s">
        <v>584</v>
      </c>
    </row>
    <row r="176" customFormat="false" ht="15" hidden="false" customHeight="false" outlineLevel="0" collapsed="false">
      <c r="A176" s="18" t="s">
        <v>585</v>
      </c>
      <c r="B176" s="1" t="s">
        <v>586</v>
      </c>
      <c r="C176" s="1" t="str">
        <f aca="false">IF(G176=0,E176,B176)</f>
        <v>ESTRATEGIA DE MEDIOS</v>
      </c>
      <c r="D176" s="1" t="n">
        <f aca="false">LEN(C176)</f>
        <v>20</v>
      </c>
      <c r="E176" s="1" t="s">
        <v>586</v>
      </c>
      <c r="F176" s="1" t="n">
        <f aca="false">LEN(B176)</f>
        <v>20</v>
      </c>
      <c r="G176" s="1" t="n">
        <v>1</v>
      </c>
      <c r="H176" s="19"/>
      <c r="I176" s="19"/>
      <c r="K176" s="0" t="s">
        <v>587</v>
      </c>
      <c r="L176" s="0" t="s">
        <v>588</v>
      </c>
    </row>
    <row r="177" customFormat="false" ht="15" hidden="false" customHeight="false" outlineLevel="0" collapsed="false">
      <c r="A177" s="18" t="s">
        <v>589</v>
      </c>
      <c r="B177" s="1" t="s">
        <v>590</v>
      </c>
      <c r="C177" s="1" t="str">
        <f aca="false">IF(G177=0,E177,B177)</f>
        <v>ESTRATEGIA DIGITAL</v>
      </c>
      <c r="D177" s="1" t="n">
        <f aca="false">LEN(C177)</f>
        <v>19</v>
      </c>
      <c r="E177" s="1" t="s">
        <v>590</v>
      </c>
      <c r="F177" s="1" t="n">
        <f aca="false">LEN(B177)</f>
        <v>19</v>
      </c>
      <c r="G177" s="1" t="n">
        <v>1</v>
      </c>
      <c r="H177" s="19"/>
      <c r="I177" s="19"/>
      <c r="K177" s="0" t="s">
        <v>591</v>
      </c>
      <c r="L177" s="0" t="s">
        <v>592</v>
      </c>
    </row>
    <row r="178" customFormat="false" ht="15" hidden="false" customHeight="false" outlineLevel="0" collapsed="false">
      <c r="A178" s="18" t="s">
        <v>593</v>
      </c>
      <c r="B178" s="1" t="s">
        <v>299</v>
      </c>
      <c r="C178" s="1" t="str">
        <f aca="false">IF(G178=0,E178,B178)</f>
        <v>ESTRAT COMU COME</v>
      </c>
      <c r="D178" s="1" t="n">
        <f aca="false">LEN(C178)</f>
        <v>16</v>
      </c>
      <c r="E178" s="1" t="s">
        <v>300</v>
      </c>
      <c r="F178" s="1" t="n">
        <f aca="false">LEN(B178)</f>
        <v>35</v>
      </c>
      <c r="G178" s="1" t="n">
        <v>0</v>
      </c>
      <c r="H178" s="19"/>
      <c r="I178" s="19"/>
      <c r="K178" s="0" t="s">
        <v>594</v>
      </c>
      <c r="L178" s="0" t="s">
        <v>595</v>
      </c>
    </row>
    <row r="179" customFormat="false" ht="15" hidden="false" customHeight="false" outlineLevel="0" collapsed="false">
      <c r="A179" s="20" t="s">
        <v>596</v>
      </c>
      <c r="B179" s="1" t="s">
        <v>303</v>
      </c>
      <c r="C179" s="1" t="str">
        <f aca="false">IF(G179=0,E179,B179)</f>
        <v>ESTRAT DISEÑO CADENA SUMI</v>
      </c>
      <c r="D179" s="1" t="n">
        <f aca="false">LEN(C179)</f>
        <v>25</v>
      </c>
      <c r="E179" s="1" t="s">
        <v>304</v>
      </c>
      <c r="F179" s="1" t="n">
        <f aca="false">LEN(B179)</f>
        <v>46</v>
      </c>
      <c r="G179" s="1" t="n">
        <v>0</v>
      </c>
      <c r="H179" s="19"/>
      <c r="I179" s="19"/>
      <c r="K179" s="0" t="s">
        <v>597</v>
      </c>
      <c r="L179" s="0" t="s">
        <v>598</v>
      </c>
    </row>
    <row r="180" customFormat="false" ht="15" hidden="false" customHeight="false" outlineLevel="0" collapsed="false">
      <c r="A180" s="21" t="s">
        <v>599</v>
      </c>
      <c r="B180" s="1" t="s">
        <v>600</v>
      </c>
      <c r="C180" s="1" t="str">
        <f aca="false">IF(G180=0,E180,B180)</f>
        <v>ESTRAT DISEÑO CADENA SUMI</v>
      </c>
      <c r="D180" s="1" t="n">
        <f aca="false">LEN(C180)</f>
        <v>25</v>
      </c>
      <c r="E180" s="1" t="s">
        <v>304</v>
      </c>
      <c r="F180" s="1" t="n">
        <f aca="false">LEN(B180)</f>
        <v>47</v>
      </c>
      <c r="G180" s="1" t="n">
        <v>0</v>
      </c>
      <c r="H180" s="19"/>
      <c r="I180" s="19"/>
      <c r="K180" s="0" t="s">
        <v>601</v>
      </c>
      <c r="L180" s="0" t="s">
        <v>602</v>
      </c>
    </row>
    <row r="181" customFormat="false" ht="15" hidden="false" customHeight="false" outlineLevel="0" collapsed="false">
      <c r="A181" s="22" t="s">
        <v>603</v>
      </c>
      <c r="B181" s="1" t="s">
        <v>309</v>
      </c>
      <c r="C181" s="1" t="str">
        <f aca="false">IF(G181=0,E181,B181)</f>
        <v>ESTR AVAN DESA COMP LECT</v>
      </c>
      <c r="D181" s="1" t="n">
        <f aca="false">LEN(C181)</f>
        <v>24</v>
      </c>
      <c r="E181" s="1" t="s">
        <v>310</v>
      </c>
      <c r="F181" s="1" t="n">
        <f aca="false">LEN(B181)</f>
        <v>74</v>
      </c>
      <c r="G181" s="1" t="n">
        <v>0</v>
      </c>
      <c r="H181" s="14" t="n">
        <v>3</v>
      </c>
      <c r="I181" s="19"/>
      <c r="K181" s="0" t="s">
        <v>604</v>
      </c>
      <c r="L181" s="0" t="s">
        <v>605</v>
      </c>
    </row>
    <row r="182" customFormat="false" ht="15" hidden="false" customHeight="false" outlineLevel="0" collapsed="false">
      <c r="A182" s="18" t="s">
        <v>606</v>
      </c>
      <c r="B182" s="1" t="s">
        <v>313</v>
      </c>
      <c r="C182" s="1" t="str">
        <f aca="false">IF(G182=0,E182,B182)</f>
        <v>ESTR DESA COMP ADUL</v>
      </c>
      <c r="D182" s="1" t="n">
        <f aca="false">LEN(C182)</f>
        <v>19</v>
      </c>
      <c r="E182" s="1" t="s">
        <v>314</v>
      </c>
      <c r="F182" s="1" t="n">
        <f aca="false">LEN(B182)</f>
        <v>57</v>
      </c>
      <c r="G182" s="1" t="n">
        <v>0</v>
      </c>
      <c r="H182" s="19"/>
      <c r="I182" s="19"/>
      <c r="K182" s="0" t="s">
        <v>607</v>
      </c>
      <c r="L182" s="0" t="s">
        <v>608</v>
      </c>
    </row>
    <row r="183" customFormat="false" ht="15" hidden="false" customHeight="false" outlineLevel="0" collapsed="false">
      <c r="A183" s="20" t="s">
        <v>609</v>
      </c>
      <c r="B183" s="1" t="s">
        <v>317</v>
      </c>
      <c r="C183" s="1" t="str">
        <f aca="false">IF(G183=0,E183,B183)</f>
        <v>ESTU TIEMPO MOVI</v>
      </c>
      <c r="D183" s="1" t="n">
        <f aca="false">LEN(C183)</f>
        <v>16</v>
      </c>
      <c r="E183" s="1" t="s">
        <v>318</v>
      </c>
      <c r="F183" s="1" t="n">
        <f aca="false">LEN(B183)</f>
        <v>32</v>
      </c>
      <c r="G183" s="1" t="n">
        <v>0</v>
      </c>
      <c r="H183" s="19"/>
      <c r="I183" s="19"/>
      <c r="K183" s="0" t="s">
        <v>610</v>
      </c>
      <c r="L183" s="0" t="s">
        <v>611</v>
      </c>
    </row>
    <row r="184" customFormat="false" ht="15" hidden="false" customHeight="false" outlineLevel="0" collapsed="false">
      <c r="A184" s="23" t="s">
        <v>612</v>
      </c>
      <c r="B184" s="1" t="s">
        <v>613</v>
      </c>
      <c r="C184" s="1" t="str">
        <f aca="false">IF(G184=0,E184,B184)</f>
        <v>ESTU TIEMPO MOVI</v>
      </c>
      <c r="D184" s="1" t="n">
        <f aca="false">LEN(C184)</f>
        <v>16</v>
      </c>
      <c r="E184" s="1" t="s">
        <v>318</v>
      </c>
      <c r="F184" s="1" t="n">
        <f aca="false">LEN(B184)</f>
        <v>33</v>
      </c>
      <c r="G184" s="1" t="n">
        <v>0</v>
      </c>
      <c r="H184" s="17"/>
      <c r="I184" s="17"/>
      <c r="K184" s="0" t="s">
        <v>614</v>
      </c>
      <c r="L184" s="0" t="s">
        <v>615</v>
      </c>
    </row>
    <row r="185" customFormat="false" ht="15" hidden="false" customHeight="false" outlineLevel="0" collapsed="false">
      <c r="A185" s="16" t="s">
        <v>616</v>
      </c>
      <c r="B185" s="1" t="s">
        <v>323</v>
      </c>
      <c r="C185" s="1" t="str">
        <f aca="false">IF(G185=0,E185,B185)</f>
        <v>ÉTICA LEGI PUBL</v>
      </c>
      <c r="D185" s="1" t="n">
        <f aca="false">LEN(C185)</f>
        <v>15</v>
      </c>
      <c r="E185" s="1" t="s">
        <v>324</v>
      </c>
      <c r="F185" s="1" t="n">
        <f aca="false">LEN(B185)</f>
        <v>32</v>
      </c>
      <c r="G185" s="1" t="n">
        <v>0</v>
      </c>
      <c r="H185" s="17"/>
      <c r="I185" s="17"/>
      <c r="K185" s="0" t="s">
        <v>617</v>
      </c>
      <c r="L185" s="0" t="s">
        <v>618</v>
      </c>
    </row>
    <row r="186" customFormat="false" ht="15" hidden="false" customHeight="false" outlineLevel="0" collapsed="false">
      <c r="A186" s="18" t="s">
        <v>619</v>
      </c>
      <c r="B186" s="1" t="s">
        <v>327</v>
      </c>
      <c r="C186" s="1" t="str">
        <f aca="false">IF(G186=0,E186,B186)</f>
        <v>ÉTICA PRIN LEGI EDUC</v>
      </c>
      <c r="D186" s="1" t="n">
        <f aca="false">LEN(C186)</f>
        <v>20</v>
      </c>
      <c r="E186" s="1" t="s">
        <v>328</v>
      </c>
      <c r="F186" s="1" t="n">
        <f aca="false">LEN(B186)</f>
        <v>43</v>
      </c>
      <c r="G186" s="1" t="n">
        <v>0</v>
      </c>
      <c r="H186" s="19"/>
      <c r="I186" s="19"/>
      <c r="K186" s="0" t="s">
        <v>620</v>
      </c>
      <c r="L186" s="0" t="s">
        <v>621</v>
      </c>
    </row>
    <row r="187" customFormat="false" ht="15" hidden="false" customHeight="false" outlineLevel="0" collapsed="false">
      <c r="A187" s="18" t="s">
        <v>622</v>
      </c>
      <c r="B187" s="1" t="s">
        <v>330</v>
      </c>
      <c r="C187" s="1" t="str">
        <f aca="false">IF(G187=0,E187,B187)</f>
        <v>ÉTICA SEXU BIEN EDUC CIEN</v>
      </c>
      <c r="D187" s="1" t="n">
        <f aca="false">LEN(C187)</f>
        <v>25</v>
      </c>
      <c r="E187" s="1" t="s">
        <v>331</v>
      </c>
      <c r="F187" s="1" t="n">
        <f aca="false">LEN(B187)</f>
        <v>56</v>
      </c>
      <c r="G187" s="1" t="n">
        <v>0</v>
      </c>
      <c r="H187" s="19" t="n">
        <v>3</v>
      </c>
      <c r="I187" s="19"/>
      <c r="K187" s="0" t="s">
        <v>623</v>
      </c>
      <c r="L187" s="0" t="s">
        <v>624</v>
      </c>
    </row>
    <row r="188" customFormat="false" ht="15" hidden="false" customHeight="false" outlineLevel="0" collapsed="false">
      <c r="A188" s="18" t="s">
        <v>625</v>
      </c>
      <c r="B188" s="1" t="s">
        <v>626</v>
      </c>
      <c r="C188" s="1" t="str">
        <f aca="false">IF(G188=0,E188,B188)</f>
        <v>EVALUACIÓN CURRICULAR</v>
      </c>
      <c r="D188" s="1" t="n">
        <f aca="false">LEN(C188)</f>
        <v>21</v>
      </c>
      <c r="E188" s="1" t="s">
        <v>626</v>
      </c>
      <c r="F188" s="1" t="n">
        <f aca="false">LEN(B188)</f>
        <v>21</v>
      </c>
      <c r="G188" s="1" t="n">
        <v>1</v>
      </c>
      <c r="H188" s="19"/>
      <c r="I188" s="19"/>
      <c r="K188" s="0" t="s">
        <v>627</v>
      </c>
      <c r="L188" s="0" t="s">
        <v>628</v>
      </c>
    </row>
    <row r="189" customFormat="false" ht="15" hidden="false" customHeight="false" outlineLevel="0" collapsed="false">
      <c r="A189" s="18" t="s">
        <v>629</v>
      </c>
      <c r="B189" s="1" t="s">
        <v>333</v>
      </c>
      <c r="C189" s="1" t="str">
        <f aca="false">IF(G189=0,E189,B189)</f>
        <v>EVAL COMP EDUC SUPE</v>
      </c>
      <c r="D189" s="1" t="n">
        <f aca="false">LEN(C189)</f>
        <v>19</v>
      </c>
      <c r="E189" s="1" t="s">
        <v>334</v>
      </c>
      <c r="F189" s="1" t="n">
        <f aca="false">LEN(B189)</f>
        <v>51</v>
      </c>
      <c r="G189" s="1" t="n">
        <v>0</v>
      </c>
      <c r="H189" s="19"/>
      <c r="I189" s="19"/>
      <c r="K189" s="0" t="s">
        <v>630</v>
      </c>
      <c r="L189" s="0" t="s">
        <v>631</v>
      </c>
    </row>
    <row r="190" customFormat="false" ht="15" hidden="false" customHeight="false" outlineLevel="0" collapsed="false">
      <c r="A190" s="16" t="s">
        <v>632</v>
      </c>
      <c r="B190" s="1" t="s">
        <v>337</v>
      </c>
      <c r="C190" s="1" t="str">
        <f aca="false">IF(G190=0,E190,B190)</f>
        <v>EVAL APRE</v>
      </c>
      <c r="D190" s="1" t="n">
        <f aca="false">LEN(C190)</f>
        <v>9</v>
      </c>
      <c r="E190" s="1" t="s">
        <v>338</v>
      </c>
      <c r="F190" s="1" t="n">
        <f aca="false">LEN(B190)</f>
        <v>30</v>
      </c>
      <c r="G190" s="1" t="n">
        <v>0</v>
      </c>
      <c r="H190" s="0" t="n">
        <v>3</v>
      </c>
      <c r="K190" s="0" t="s">
        <v>633</v>
      </c>
      <c r="L190" s="0" t="s">
        <v>634</v>
      </c>
    </row>
    <row r="191" customFormat="false" ht="15" hidden="false" customHeight="false" outlineLevel="0" collapsed="false">
      <c r="A191" s="18" t="s">
        <v>635</v>
      </c>
      <c r="B191" s="1" t="s">
        <v>341</v>
      </c>
      <c r="C191" s="1" t="str">
        <f aca="false">IF(G191=0,E191,B191)</f>
        <v>EVAL E INNO ENSE</v>
      </c>
      <c r="D191" s="1" t="n">
        <f aca="false">LEN(C191)</f>
        <v>16</v>
      </c>
      <c r="E191" s="1" t="s">
        <v>342</v>
      </c>
      <c r="F191" s="1" t="n">
        <f aca="false">LEN(B191)</f>
        <v>39</v>
      </c>
      <c r="G191" s="1" t="n">
        <v>0</v>
      </c>
      <c r="H191" s="0" t="n">
        <v>3</v>
      </c>
      <c r="K191" s="0" t="s">
        <v>636</v>
      </c>
      <c r="L191" s="0" t="s">
        <v>637</v>
      </c>
    </row>
    <row r="192" customFormat="false" ht="15" hidden="false" customHeight="false" outlineLevel="0" collapsed="false">
      <c r="A192" s="18" t="s">
        <v>638</v>
      </c>
      <c r="B192" s="1" t="s">
        <v>344</v>
      </c>
      <c r="C192" s="1" t="str">
        <f aca="false">IF(G192=0,E192,B192)</f>
        <v>EVAL EDUC INNO</v>
      </c>
      <c r="D192" s="1" t="n">
        <f aca="false">LEN(C192)</f>
        <v>14</v>
      </c>
      <c r="E192" s="1" t="s">
        <v>345</v>
      </c>
      <c r="F192" s="1" t="n">
        <f aca="false">LEN(B192)</f>
        <v>31</v>
      </c>
      <c r="G192" s="1" t="n">
        <v>0</v>
      </c>
      <c r="K192" s="0" t="s">
        <v>639</v>
      </c>
      <c r="L192" s="0" t="s">
        <v>640</v>
      </c>
    </row>
    <row r="193" customFormat="false" ht="15" hidden="false" customHeight="false" outlineLevel="0" collapsed="false">
      <c r="A193" s="18" t="s">
        <v>641</v>
      </c>
      <c r="B193" s="1" t="s">
        <v>347</v>
      </c>
      <c r="C193" s="1" t="str">
        <f aca="false">IF(G193=0,E193,B193)</f>
        <v>EVAL CONT DIGI</v>
      </c>
      <c r="D193" s="1" t="n">
        <f aca="false">LEN(C193)</f>
        <v>14</v>
      </c>
      <c r="E193" s="1" t="s">
        <v>348</v>
      </c>
      <c r="F193" s="1" t="n">
        <f aca="false">LEN(B193)</f>
        <v>33</v>
      </c>
      <c r="G193" s="1" t="n">
        <v>0</v>
      </c>
      <c r="H193" s="19"/>
      <c r="I193" s="19"/>
      <c r="K193" s="0" t="s">
        <v>642</v>
      </c>
      <c r="L193" s="0" t="s">
        <v>643</v>
      </c>
    </row>
    <row r="194" customFormat="false" ht="15" hidden="false" customHeight="false" outlineLevel="0" collapsed="false">
      <c r="A194" s="16" t="s">
        <v>644</v>
      </c>
      <c r="B194" s="1" t="s">
        <v>350</v>
      </c>
      <c r="C194" s="1" t="str">
        <f aca="false">IF(G194=0,E194,B194)</f>
        <v>EVAL EDUC ADUL</v>
      </c>
      <c r="D194" s="1" t="n">
        <f aca="false">LEN(C194)</f>
        <v>14</v>
      </c>
      <c r="E194" s="1" t="s">
        <v>351</v>
      </c>
      <c r="F194" s="1" t="n">
        <f aca="false">LEN(B194)</f>
        <v>37</v>
      </c>
      <c r="G194" s="1" t="n">
        <v>0</v>
      </c>
      <c r="H194" s="17"/>
      <c r="I194" s="17"/>
      <c r="K194" s="0" t="s">
        <v>645</v>
      </c>
      <c r="L194" s="0" t="s">
        <v>646</v>
      </c>
    </row>
    <row r="195" customFormat="false" ht="15" hidden="false" customHeight="false" outlineLevel="0" collapsed="false">
      <c r="A195" s="13" t="s">
        <v>647</v>
      </c>
      <c r="B195" s="1" t="s">
        <v>354</v>
      </c>
      <c r="C195" s="1" t="str">
        <f aca="false">IF(G195=0,E195,B195)</f>
        <v>EVOL HIST ESPA</v>
      </c>
      <c r="D195" s="1" t="n">
        <f aca="false">LEN(C195)</f>
        <v>14</v>
      </c>
      <c r="E195" s="1" t="s">
        <v>355</v>
      </c>
      <c r="F195" s="1" t="n">
        <f aca="false">LEN(B195)</f>
        <v>31</v>
      </c>
      <c r="G195" s="1" t="n">
        <v>0</v>
      </c>
      <c r="H195" s="14" t="n">
        <v>3</v>
      </c>
      <c r="I195" s="14"/>
      <c r="K195" s="0" t="s">
        <v>648</v>
      </c>
      <c r="L195" s="0" t="s">
        <v>649</v>
      </c>
    </row>
    <row r="196" customFormat="false" ht="15" hidden="false" customHeight="false" outlineLevel="0" collapsed="false">
      <c r="A196" s="16" t="s">
        <v>650</v>
      </c>
      <c r="B196" s="1" t="s">
        <v>358</v>
      </c>
      <c r="C196" s="1" t="str">
        <f aca="false">IF(G196=0,E196,B196)</f>
        <v>EVOL DESA EMPR</v>
      </c>
      <c r="D196" s="1" t="n">
        <f aca="false">LEN(C196)</f>
        <v>14</v>
      </c>
      <c r="E196" s="1" t="s">
        <v>359</v>
      </c>
      <c r="F196" s="1" t="n">
        <f aca="false">LEN(B196)</f>
        <v>34</v>
      </c>
      <c r="G196" s="1" t="n">
        <v>0</v>
      </c>
      <c r="H196" s="17" t="n">
        <v>4</v>
      </c>
      <c r="I196" s="17"/>
      <c r="K196" s="0" t="s">
        <v>651</v>
      </c>
      <c r="L196" s="0" t="s">
        <v>652</v>
      </c>
    </row>
    <row r="197" customFormat="false" ht="15" hidden="false" customHeight="false" outlineLevel="0" collapsed="false">
      <c r="A197" s="16" t="s">
        <v>653</v>
      </c>
      <c r="B197" s="1" t="s">
        <v>362</v>
      </c>
      <c r="C197" s="1" t="str">
        <f aca="false">IF(G197=0,E197,B197)</f>
        <v>EXPE DIGI INME (MET</v>
      </c>
      <c r="D197" s="1" t="n">
        <f aca="false">LEN(C197)</f>
        <v>19</v>
      </c>
      <c r="E197" s="1" t="s">
        <v>363</v>
      </c>
      <c r="F197" s="1" t="n">
        <f aca="false">LEN(B197)</f>
        <v>45</v>
      </c>
      <c r="G197" s="1" t="n">
        <v>0</v>
      </c>
      <c r="H197" s="17"/>
      <c r="I197" s="17"/>
      <c r="K197" s="0" t="s">
        <v>654</v>
      </c>
      <c r="L197" s="0" t="s">
        <v>655</v>
      </c>
    </row>
    <row r="198" customFormat="false" ht="15" hidden="false" customHeight="false" outlineLevel="0" collapsed="false">
      <c r="A198" s="24" t="s">
        <v>656</v>
      </c>
      <c r="B198" s="1" t="s">
        <v>365</v>
      </c>
      <c r="C198" s="1" t="str">
        <f aca="false">IF(G198=0,E198,B198)</f>
        <v>EXPR ORAL NARR LITE CREA I</v>
      </c>
      <c r="D198" s="1" t="n">
        <f aca="false">LEN(C198)</f>
        <v>27</v>
      </c>
      <c r="E198" s="1" t="s">
        <v>366</v>
      </c>
      <c r="F198" s="1" t="n">
        <f aca="false">LEN(B198)</f>
        <v>64</v>
      </c>
      <c r="G198" s="1" t="n">
        <v>0</v>
      </c>
      <c r="H198" s="6" t="n">
        <v>3</v>
      </c>
      <c r="K198" s="0" t="s">
        <v>657</v>
      </c>
      <c r="L198" s="0" t="s">
        <v>658</v>
      </c>
    </row>
    <row r="199" customFormat="false" ht="15" hidden="false" customHeight="false" outlineLevel="0" collapsed="false">
      <c r="A199" s="13" t="s">
        <v>659</v>
      </c>
      <c r="B199" s="1" t="s">
        <v>368</v>
      </c>
      <c r="C199" s="1" t="str">
        <f aca="false">IF(G199=0,E199,B199)</f>
        <v>EXPR IDIO CULT HISP</v>
      </c>
      <c r="D199" s="1" t="n">
        <f aca="false">LEN(C199)</f>
        <v>19</v>
      </c>
      <c r="E199" s="1" t="s">
        <v>369</v>
      </c>
      <c r="F199" s="1" t="n">
        <f aca="false">LEN(B199)</f>
        <v>43</v>
      </c>
      <c r="G199" s="1" t="n">
        <v>0</v>
      </c>
      <c r="K199" s="0" t="s">
        <v>660</v>
      </c>
      <c r="L199" s="0" t="s">
        <v>661</v>
      </c>
    </row>
    <row r="200" customFormat="false" ht="15" hidden="false" customHeight="false" outlineLevel="0" collapsed="false">
      <c r="A200" s="18" t="s">
        <v>662</v>
      </c>
      <c r="B200" s="1" t="s">
        <v>371</v>
      </c>
      <c r="C200" s="1" t="str">
        <f aca="false">IF(G200=0,E200,B200)</f>
        <v>FENÓ NATU UN ENFO INTE CIEN</v>
      </c>
      <c r="D200" s="1" t="n">
        <f aca="false">LEN(C200)</f>
        <v>27</v>
      </c>
      <c r="E200" s="1" t="s">
        <v>372</v>
      </c>
      <c r="F200" s="1" t="n">
        <f aca="false">LEN(B200)</f>
        <v>62</v>
      </c>
      <c r="G200" s="1" t="n">
        <v>0</v>
      </c>
      <c r="H200" s="0" t="n">
        <v>3</v>
      </c>
      <c r="K200" s="0" t="s">
        <v>663</v>
      </c>
      <c r="L200" s="0" t="s">
        <v>664</v>
      </c>
    </row>
    <row r="201" customFormat="false" ht="15" hidden="false" customHeight="false" outlineLevel="0" collapsed="false">
      <c r="A201" s="25" t="s">
        <v>665</v>
      </c>
      <c r="B201" s="1" t="s">
        <v>666</v>
      </c>
      <c r="C201" s="1" t="str">
        <f aca="false">IF(G201=0,E201,B201)</f>
        <v>FILOSOFÍA DEL DERECHO</v>
      </c>
      <c r="D201" s="1" t="n">
        <f aca="false">LEN(C201)</f>
        <v>21</v>
      </c>
      <c r="E201" s="1" t="s">
        <v>666</v>
      </c>
      <c r="F201" s="1" t="n">
        <f aca="false">LEN(B201)</f>
        <v>21</v>
      </c>
      <c r="G201" s="1" t="n">
        <v>1</v>
      </c>
      <c r="H201" s="10" t="n">
        <v>3</v>
      </c>
      <c r="K201" s="0" t="s">
        <v>667</v>
      </c>
      <c r="L201" s="0" t="s">
        <v>668</v>
      </c>
    </row>
    <row r="202" customFormat="false" ht="15" hidden="false" customHeight="false" outlineLevel="0" collapsed="false">
      <c r="A202" s="1" t="s">
        <v>669</v>
      </c>
      <c r="B202" s="1" t="s">
        <v>375</v>
      </c>
      <c r="C202" s="1" t="str">
        <f aca="false">IF(G202=0,E202,B202)</f>
        <v>FILO ÉTICA EDUC SIGLO XXI</v>
      </c>
      <c r="D202" s="1" t="n">
        <f aca="false">LEN(C202)</f>
        <v>25</v>
      </c>
      <c r="E202" s="1" t="s">
        <v>376</v>
      </c>
      <c r="F202" s="1" t="n">
        <f aca="false">LEN(B202)</f>
        <v>43</v>
      </c>
      <c r="G202" s="1" t="n">
        <v>0</v>
      </c>
      <c r="K202" s="0" t="s">
        <v>670</v>
      </c>
      <c r="L202" s="0" t="s">
        <v>671</v>
      </c>
    </row>
    <row r="203" customFormat="false" ht="15" hidden="false" customHeight="false" outlineLevel="0" collapsed="false">
      <c r="A203" s="1" t="s">
        <v>672</v>
      </c>
      <c r="B203" s="1" t="s">
        <v>378</v>
      </c>
      <c r="C203" s="1" t="str">
        <f aca="false">IF(G203=0,E203,B203)</f>
        <v>FÍSICA GENE I TEORÍA LABO</v>
      </c>
      <c r="D203" s="1" t="n">
        <f aca="false">LEN(C203)</f>
        <v>25</v>
      </c>
      <c r="E203" s="1" t="s">
        <v>379</v>
      </c>
      <c r="F203" s="1" t="n">
        <f aca="false">LEN(B203)</f>
        <v>38</v>
      </c>
      <c r="G203" s="1" t="n">
        <v>0</v>
      </c>
      <c r="H203" s="0" t="n">
        <v>4</v>
      </c>
      <c r="K203" s="0" t="s">
        <v>673</v>
      </c>
      <c r="L203" s="0" t="s">
        <v>674</v>
      </c>
    </row>
    <row r="204" customFormat="false" ht="15" hidden="false" customHeight="false" outlineLevel="0" collapsed="false">
      <c r="A204" s="1" t="s">
        <v>675</v>
      </c>
      <c r="B204" s="1" t="s">
        <v>381</v>
      </c>
      <c r="C204" s="1" t="str">
        <f aca="false">IF(G204=0,E204,B204)</f>
        <v>FÍSICA GENE II TEORÍA LABO</v>
      </c>
      <c r="D204" s="1" t="n">
        <f aca="false">LEN(C204)</f>
        <v>26</v>
      </c>
      <c r="E204" s="1" t="s">
        <v>382</v>
      </c>
      <c r="F204" s="1" t="n">
        <f aca="false">LEN(B204)</f>
        <v>39</v>
      </c>
      <c r="G204" s="1" t="n">
        <v>0</v>
      </c>
      <c r="H204" s="0" t="n">
        <v>4</v>
      </c>
      <c r="K204" s="0" t="s">
        <v>676</v>
      </c>
      <c r="L204" s="0" t="s">
        <v>677</v>
      </c>
    </row>
    <row r="205" customFormat="false" ht="15" hidden="false" customHeight="false" outlineLevel="0" collapsed="false">
      <c r="A205" s="1" t="s">
        <v>678</v>
      </c>
      <c r="B205" s="1" t="s">
        <v>385</v>
      </c>
      <c r="C205" s="1" t="str">
        <f aca="false">IF(G205=0,E205,B205)</f>
        <v>FÍSICA MODE ENSE CIEN</v>
      </c>
      <c r="D205" s="1" t="n">
        <f aca="false">LEN(C205)</f>
        <v>21</v>
      </c>
      <c r="E205" s="1" t="s">
        <v>386</v>
      </c>
      <c r="F205" s="1" t="n">
        <f aca="false">LEN(B205)</f>
        <v>48</v>
      </c>
      <c r="G205" s="1" t="n">
        <v>0</v>
      </c>
      <c r="H205" s="0" t="n">
        <v>3</v>
      </c>
      <c r="K205" s="0" t="s">
        <v>679</v>
      </c>
      <c r="L205" s="0" t="s">
        <v>680</v>
      </c>
    </row>
    <row r="206" customFormat="false" ht="15" hidden="false" customHeight="false" outlineLevel="0" collapsed="false">
      <c r="A206" s="8" t="s">
        <v>681</v>
      </c>
      <c r="B206" s="1" t="s">
        <v>389</v>
      </c>
      <c r="C206" s="1" t="str">
        <f aca="false">IF(G206=0,E206,B206)</f>
        <v>FONÉ FONO LENGUA ESPA</v>
      </c>
      <c r="D206" s="1" t="n">
        <f aca="false">LEN(C206)</f>
        <v>21</v>
      </c>
      <c r="E206" s="1" t="s">
        <v>390</v>
      </c>
      <c r="F206" s="1" t="n">
        <f aca="false">LEN(B206)</f>
        <v>42</v>
      </c>
      <c r="G206" s="1" t="n">
        <v>0</v>
      </c>
      <c r="H206" s="6" t="n">
        <v>3</v>
      </c>
      <c r="I206" s="6"/>
      <c r="K206" s="0" t="s">
        <v>682</v>
      </c>
      <c r="L206" s="0" t="s">
        <v>683</v>
      </c>
    </row>
    <row r="207" customFormat="false" ht="15" hidden="false" customHeight="false" outlineLevel="0" collapsed="false">
      <c r="A207" s="7" t="s">
        <v>684</v>
      </c>
      <c r="B207" s="1" t="s">
        <v>685</v>
      </c>
      <c r="C207" s="1" t="str">
        <f aca="false">IF(G207=0,E207,B207)</f>
        <v>FORMACIÓN CIUDADANA</v>
      </c>
      <c r="D207" s="1" t="n">
        <f aca="false">LEN(C207)</f>
        <v>20</v>
      </c>
      <c r="E207" s="1" t="s">
        <v>685</v>
      </c>
      <c r="F207" s="1" t="n">
        <f aca="false">LEN(B207)</f>
        <v>20</v>
      </c>
      <c r="G207" s="1" t="n">
        <v>1</v>
      </c>
      <c r="H207" s="6" t="n">
        <v>3</v>
      </c>
      <c r="I207" s="6"/>
      <c r="K207" s="0" t="s">
        <v>686</v>
      </c>
      <c r="L207" s="0" t="s">
        <v>687</v>
      </c>
    </row>
    <row r="208" customFormat="false" ht="15" hidden="false" customHeight="false" outlineLevel="0" collapsed="false">
      <c r="A208" s="1" t="s">
        <v>688</v>
      </c>
      <c r="B208" s="1" t="s">
        <v>689</v>
      </c>
      <c r="C208" s="1" t="str">
        <f aca="false">IF(G208=0,E208,B208)</f>
        <v>FORMU Y EVAL PROYECTOS</v>
      </c>
      <c r="D208" s="1" t="n">
        <f aca="false">LEN(C208)</f>
        <v>23</v>
      </c>
      <c r="E208" s="1" t="s">
        <v>690</v>
      </c>
      <c r="F208" s="1" t="n">
        <f aca="false">LEN(B208)</f>
        <v>38</v>
      </c>
      <c r="G208" s="1" t="n">
        <v>0</v>
      </c>
      <c r="H208" s="0" t="n">
        <v>4</v>
      </c>
      <c r="K208" s="0" t="s">
        <v>691</v>
      </c>
      <c r="L208" s="0" t="s">
        <v>692</v>
      </c>
    </row>
    <row r="209" customFormat="false" ht="15" hidden="false" customHeight="false" outlineLevel="0" collapsed="false">
      <c r="A209" s="1" t="s">
        <v>693</v>
      </c>
      <c r="B209" s="1" t="s">
        <v>396</v>
      </c>
      <c r="C209" s="1" t="str">
        <f aca="false">IF(G209=0,E209,B209)</f>
        <v>FORM EVAL PROY COMU</v>
      </c>
      <c r="D209" s="1" t="n">
        <f aca="false">LEN(C209)</f>
        <v>19</v>
      </c>
      <c r="E209" s="1" t="s">
        <v>397</v>
      </c>
      <c r="F209" s="1" t="n">
        <f aca="false">LEN(B209)</f>
        <v>53</v>
      </c>
      <c r="G209" s="1" t="n">
        <v>0</v>
      </c>
      <c r="K209" s="0" t="s">
        <v>694</v>
      </c>
      <c r="L209" s="0" t="s">
        <v>695</v>
      </c>
    </row>
    <row r="210" customFormat="false" ht="15" hidden="false" customHeight="false" outlineLevel="0" collapsed="false">
      <c r="A210" s="1" t="s">
        <v>696</v>
      </c>
      <c r="B210" s="1" t="s">
        <v>400</v>
      </c>
      <c r="C210" s="1" t="str">
        <f aca="false">IF(G210=0,E210,B210)</f>
        <v>FUEN PERS CURR</v>
      </c>
      <c r="D210" s="1" t="n">
        <f aca="false">LEN(C210)</f>
        <v>14</v>
      </c>
      <c r="E210" s="1" t="s">
        <v>401</v>
      </c>
      <c r="F210" s="1" t="n">
        <f aca="false">LEN(B210)</f>
        <v>36</v>
      </c>
      <c r="G210" s="1" t="n">
        <v>0</v>
      </c>
      <c r="H210" s="0" t="n">
        <v>3</v>
      </c>
      <c r="K210" s="0" t="s">
        <v>697</v>
      </c>
      <c r="L210" s="0" t="s">
        <v>698</v>
      </c>
    </row>
    <row r="211" customFormat="false" ht="15" hidden="false" customHeight="false" outlineLevel="0" collapsed="false">
      <c r="A211" s="8" t="s">
        <v>699</v>
      </c>
      <c r="B211" s="1" t="s">
        <v>403</v>
      </c>
      <c r="C211" s="1" t="str">
        <f aca="false">IF(G211=0,E211,B211)</f>
        <v>FUNC VARI COMP</v>
      </c>
      <c r="D211" s="1" t="n">
        <f aca="false">LEN(C211)</f>
        <v>14</v>
      </c>
      <c r="E211" s="1" t="s">
        <v>404</v>
      </c>
      <c r="F211" s="1" t="n">
        <f aca="false">LEN(B211)</f>
        <v>30</v>
      </c>
      <c r="G211" s="1" t="n">
        <v>0</v>
      </c>
      <c r="H211" s="6" t="n">
        <v>3</v>
      </c>
      <c r="K211" s="0" t="s">
        <v>700</v>
      </c>
      <c r="L211" s="0" t="s">
        <v>701</v>
      </c>
    </row>
    <row r="212" customFormat="false" ht="15" hidden="false" customHeight="false" outlineLevel="0" collapsed="false">
      <c r="A212" s="5" t="s">
        <v>702</v>
      </c>
      <c r="B212" s="1" t="s">
        <v>406</v>
      </c>
      <c r="C212" s="1" t="str">
        <f aca="false">IF(G212=0,E212,B212)</f>
        <v>FUND GEOM EUCL</v>
      </c>
      <c r="D212" s="1" t="n">
        <f aca="false">LEN(C212)</f>
        <v>14</v>
      </c>
      <c r="E212" s="1" t="s">
        <v>407</v>
      </c>
      <c r="F212" s="1" t="n">
        <f aca="false">LEN(B212)</f>
        <v>35</v>
      </c>
      <c r="G212" s="1" t="n">
        <v>0</v>
      </c>
      <c r="H212" s="6" t="n">
        <v>3</v>
      </c>
      <c r="K212" s="0" t="s">
        <v>703</v>
      </c>
      <c r="L212" s="0" t="s">
        <v>704</v>
      </c>
    </row>
    <row r="213" customFormat="false" ht="15" hidden="false" customHeight="false" outlineLevel="0" collapsed="false">
      <c r="A213" s="1" t="s">
        <v>705</v>
      </c>
      <c r="B213" s="1" t="s">
        <v>409</v>
      </c>
      <c r="C213" s="1" t="str">
        <f aca="false">IF(G213=0,E213,B213)</f>
        <v>FUND EDUC COST</v>
      </c>
      <c r="D213" s="1" t="n">
        <f aca="false">LEN(C213)</f>
        <v>14</v>
      </c>
      <c r="E213" s="1" t="s">
        <v>410</v>
      </c>
      <c r="F213" s="1" t="n">
        <f aca="false">LEN(B213)</f>
        <v>41</v>
      </c>
      <c r="G213" s="1" t="n">
        <v>0</v>
      </c>
      <c r="H213" s="0" t="n">
        <v>3</v>
      </c>
      <c r="K213" s="0" t="s">
        <v>706</v>
      </c>
      <c r="L213" s="0" t="s">
        <v>707</v>
      </c>
    </row>
    <row r="214" customFormat="false" ht="15" hidden="false" customHeight="false" outlineLevel="0" collapsed="false">
      <c r="A214" s="7" t="s">
        <v>708</v>
      </c>
      <c r="B214" s="1" t="s">
        <v>709</v>
      </c>
      <c r="C214" s="1" t="str">
        <f aca="false">IF(G214=0,E214,B214)</f>
        <v>FUNDAMENTOS DE LA GEOGRAFÍA</v>
      </c>
      <c r="D214" s="1" t="n">
        <f aca="false">LEN(C214)</f>
        <v>27</v>
      </c>
      <c r="E214" s="1" t="s">
        <v>709</v>
      </c>
      <c r="F214" s="1" t="n">
        <f aca="false">LEN(B214)</f>
        <v>27</v>
      </c>
      <c r="G214" s="1" t="n">
        <v>1</v>
      </c>
      <c r="H214" s="6" t="n">
        <v>3</v>
      </c>
      <c r="I214" s="6"/>
      <c r="K214" s="0" t="s">
        <v>710</v>
      </c>
      <c r="L214" s="0" t="s">
        <v>711</v>
      </c>
    </row>
    <row r="215" customFormat="false" ht="15" hidden="false" customHeight="false" outlineLevel="0" collapsed="false">
      <c r="A215" s="1" t="s">
        <v>712</v>
      </c>
      <c r="B215" s="1" t="s">
        <v>412</v>
      </c>
      <c r="C215" s="1" t="str">
        <f aca="false">IF(G215=0,E215,B215)</f>
        <v>FUND NEUR</v>
      </c>
      <c r="D215" s="1" t="n">
        <f aca="false">LEN(C215)</f>
        <v>9</v>
      </c>
      <c r="E215" s="1" t="s">
        <v>413</v>
      </c>
      <c r="F215" s="1" t="n">
        <f aca="false">LEN(B215)</f>
        <v>29</v>
      </c>
      <c r="G215" s="1" t="n">
        <v>0</v>
      </c>
      <c r="K215" s="0" t="s">
        <v>713</v>
      </c>
      <c r="L215" s="0" t="s">
        <v>714</v>
      </c>
    </row>
    <row r="216" customFormat="false" ht="15" hidden="false" customHeight="false" outlineLevel="0" collapsed="false">
      <c r="A216" s="5" t="s">
        <v>715</v>
      </c>
      <c r="B216" s="1" t="s">
        <v>415</v>
      </c>
      <c r="C216" s="1" t="str">
        <f aca="false">IF(G216=0,E216,B216)</f>
        <v>FUND PENS MATE</v>
      </c>
      <c r="D216" s="1" t="n">
        <f aca="false">LEN(C216)</f>
        <v>14</v>
      </c>
      <c r="E216" s="1" t="s">
        <v>416</v>
      </c>
      <c r="F216" s="1" t="n">
        <f aca="false">LEN(B216)</f>
        <v>38</v>
      </c>
      <c r="G216" s="1" t="n">
        <v>0</v>
      </c>
      <c r="H216" s="6" t="n">
        <v>3</v>
      </c>
      <c r="K216" s="0" t="s">
        <v>716</v>
      </c>
      <c r="L216" s="0" t="s">
        <v>717</v>
      </c>
    </row>
    <row r="217" customFormat="false" ht="15" hidden="false" customHeight="false" outlineLevel="0" collapsed="false">
      <c r="A217" s="1" t="s">
        <v>718</v>
      </c>
      <c r="B217" s="1" t="s">
        <v>419</v>
      </c>
      <c r="C217" s="1" t="str">
        <f aca="false">IF(G217=0,E217,B217)</f>
        <v>GAMI APRE BASADO JUEGOS</v>
      </c>
      <c r="D217" s="1" t="n">
        <f aca="false">LEN(C217)</f>
        <v>23</v>
      </c>
      <c r="E217" s="1" t="s">
        <v>420</v>
      </c>
      <c r="F217" s="1" t="n">
        <f aca="false">LEN(B217)</f>
        <v>43</v>
      </c>
      <c r="G217" s="1" t="n">
        <v>0</v>
      </c>
      <c r="K217" s="0" t="s">
        <v>716</v>
      </c>
      <c r="L217" s="0" t="s">
        <v>717</v>
      </c>
    </row>
    <row r="218" customFormat="false" ht="15" hidden="false" customHeight="false" outlineLevel="0" collapsed="false">
      <c r="A218" s="22" t="s">
        <v>719</v>
      </c>
      <c r="B218" s="1" t="s">
        <v>423</v>
      </c>
      <c r="C218" s="1" t="str">
        <f aca="false">IF(G218=0,E218,B218)</f>
        <v>GEOG EDUC AMBI SOST</v>
      </c>
      <c r="D218" s="1" t="n">
        <f aca="false">LEN(C218)</f>
        <v>19</v>
      </c>
      <c r="E218" s="1" t="s">
        <v>424</v>
      </c>
      <c r="F218" s="1" t="n">
        <f aca="false">LEN(B218)</f>
        <v>54</v>
      </c>
      <c r="G218" s="1" t="n">
        <v>0</v>
      </c>
      <c r="H218" s="26"/>
      <c r="K218" s="0" t="s">
        <v>720</v>
      </c>
      <c r="L218" s="0" t="s">
        <v>721</v>
      </c>
    </row>
    <row r="219" customFormat="false" ht="15" hidden="false" customHeight="false" outlineLevel="0" collapsed="false">
      <c r="A219" s="27" t="s">
        <v>722</v>
      </c>
      <c r="B219" s="1" t="s">
        <v>427</v>
      </c>
      <c r="C219" s="1" t="str">
        <f aca="false">IF(G219=0,E219,B219)</f>
        <v>GEOM ANAL VISU MATE</v>
      </c>
      <c r="D219" s="1" t="n">
        <f aca="false">LEN(C219)</f>
        <v>19</v>
      </c>
      <c r="E219" s="1" t="s">
        <v>428</v>
      </c>
      <c r="F219" s="1" t="n">
        <f aca="false">LEN(B219)</f>
        <v>46</v>
      </c>
      <c r="G219" s="1" t="n">
        <v>0</v>
      </c>
      <c r="H219" s="28" t="n">
        <v>3</v>
      </c>
      <c r="K219" s="0" t="s">
        <v>723</v>
      </c>
      <c r="L219" s="0" t="s">
        <v>724</v>
      </c>
    </row>
    <row r="220" customFormat="false" ht="15" hidden="false" customHeight="false" outlineLevel="0" collapsed="false">
      <c r="A220" s="13" t="s">
        <v>725</v>
      </c>
      <c r="B220" s="1" t="s">
        <v>431</v>
      </c>
      <c r="C220" s="1" t="str">
        <f aca="false">IF(G220=0,E220,B220)</f>
        <v>GEOM EUCL AVAN TRAN</v>
      </c>
      <c r="D220" s="1" t="n">
        <f aca="false">LEN(C220)</f>
        <v>19</v>
      </c>
      <c r="E220" s="1" t="s">
        <v>432</v>
      </c>
      <c r="F220" s="1" t="n">
        <f aca="false">LEN(B220)</f>
        <v>48</v>
      </c>
      <c r="G220" s="1" t="n">
        <v>0</v>
      </c>
      <c r="H220" s="29" t="n">
        <v>3</v>
      </c>
      <c r="K220" s="0" t="s">
        <v>726</v>
      </c>
      <c r="L220" s="0" t="s">
        <v>727</v>
      </c>
    </row>
    <row r="221" customFormat="false" ht="15" hidden="false" customHeight="false" outlineLevel="0" collapsed="false">
      <c r="A221" s="24" t="s">
        <v>728</v>
      </c>
      <c r="B221" s="1" t="s">
        <v>435</v>
      </c>
      <c r="C221" s="1" t="str">
        <f aca="false">IF(G221=0,E221,B221)</f>
        <v>GEOP ANÁL REGI CONT</v>
      </c>
      <c r="D221" s="1" t="n">
        <f aca="false">LEN(C221)</f>
        <v>19</v>
      </c>
      <c r="E221" s="1" t="s">
        <v>436</v>
      </c>
      <c r="F221" s="1" t="n">
        <f aca="false">LEN(B221)</f>
        <v>45</v>
      </c>
      <c r="G221" s="1" t="n">
        <v>0</v>
      </c>
      <c r="H221" s="28" t="n">
        <v>3</v>
      </c>
      <c r="K221" s="0" t="s">
        <v>729</v>
      </c>
      <c r="L221" s="0" t="s">
        <v>730</v>
      </c>
    </row>
    <row r="222" customFormat="false" ht="15" hidden="false" customHeight="false" outlineLevel="0" collapsed="false">
      <c r="A222" s="16" t="s">
        <v>731</v>
      </c>
      <c r="B222" s="1" t="s">
        <v>439</v>
      </c>
      <c r="C222" s="1" t="str">
        <f aca="false">IF(G222=0,E222,B222)</f>
        <v>GERE PROD MARCA</v>
      </c>
      <c r="D222" s="1" t="n">
        <f aca="false">LEN(C222)</f>
        <v>15</v>
      </c>
      <c r="E222" s="1" t="s">
        <v>440</v>
      </c>
      <c r="F222" s="1" t="n">
        <f aca="false">LEN(B222)</f>
        <v>28</v>
      </c>
      <c r="G222" s="1" t="n">
        <v>0</v>
      </c>
      <c r="H222" s="0" t="n">
        <v>3</v>
      </c>
      <c r="K222" s="0" t="s">
        <v>732</v>
      </c>
      <c r="L222" s="0" t="s">
        <v>733</v>
      </c>
    </row>
    <row r="223" customFormat="false" ht="15" hidden="false" customHeight="false" outlineLevel="0" collapsed="false">
      <c r="A223" s="16" t="s">
        <v>734</v>
      </c>
      <c r="B223" s="1" t="s">
        <v>735</v>
      </c>
      <c r="C223" s="1" t="str">
        <f aca="false">IF(G223=0,E223,B223)</f>
        <v>GERENCIA DE RIESGO</v>
      </c>
      <c r="D223" s="1" t="n">
        <f aca="false">LEN(C223)</f>
        <v>18</v>
      </c>
      <c r="E223" s="1"/>
      <c r="F223" s="1" t="n">
        <f aca="false">LEN(B223)</f>
        <v>18</v>
      </c>
      <c r="G223" s="1" t="n">
        <v>1</v>
      </c>
      <c r="H223" s="0" t="n">
        <v>4</v>
      </c>
      <c r="K223" s="0" t="s">
        <v>736</v>
      </c>
      <c r="L223" s="0" t="s">
        <v>737</v>
      </c>
    </row>
    <row r="224" customFormat="false" ht="15" hidden="false" customHeight="false" outlineLevel="0" collapsed="false">
      <c r="A224" s="18" t="s">
        <v>738</v>
      </c>
      <c r="B224" s="1" t="s">
        <v>739</v>
      </c>
      <c r="C224" s="1" t="str">
        <f aca="false">IF(G224=0,E224,B224)</f>
        <v>GERENCIA DE VENTAS</v>
      </c>
      <c r="D224" s="1" t="n">
        <f aca="false">LEN(C224)</f>
        <v>18</v>
      </c>
      <c r="E224" s="1"/>
      <c r="F224" s="1" t="n">
        <f aca="false">LEN(B224)</f>
        <v>18</v>
      </c>
      <c r="G224" s="1" t="n">
        <v>1</v>
      </c>
      <c r="H224" s="0" t="n">
        <v>4</v>
      </c>
      <c r="K224" s="0" t="s">
        <v>740</v>
      </c>
      <c r="L224" s="0" t="s">
        <v>741</v>
      </c>
    </row>
    <row r="225" customFormat="false" ht="15" hidden="false" customHeight="false" outlineLevel="0" collapsed="false">
      <c r="A225" s="18" t="s">
        <v>742</v>
      </c>
      <c r="B225" s="1" t="s">
        <v>443</v>
      </c>
      <c r="C225" s="1" t="str">
        <f aca="false">IF(G225=0,E225,B225)</f>
        <v>GEST CULT ENTO EDUC</v>
      </c>
      <c r="D225" s="1" t="n">
        <f aca="false">LEN(C225)</f>
        <v>19</v>
      </c>
      <c r="E225" s="1" t="s">
        <v>444</v>
      </c>
      <c r="F225" s="1" t="n">
        <f aca="false">LEN(B225)</f>
        <v>39</v>
      </c>
      <c r="G225" s="1" t="n">
        <v>0</v>
      </c>
      <c r="K225" s="0" t="s">
        <v>743</v>
      </c>
      <c r="L225" s="0" t="s">
        <v>744</v>
      </c>
    </row>
    <row r="226" customFormat="false" ht="15" hidden="false" customHeight="false" outlineLevel="0" collapsed="false">
      <c r="A226" s="20" t="s">
        <v>745</v>
      </c>
      <c r="B226" s="1" t="s">
        <v>746</v>
      </c>
      <c r="C226" s="1" t="str">
        <f aca="false">IF(G226=0,E226,B226)</f>
        <v>GESTIÓN DE ALMACENES</v>
      </c>
      <c r="D226" s="1" t="n">
        <f aca="false">LEN(C226)</f>
        <v>20</v>
      </c>
      <c r="E226" s="1"/>
      <c r="F226" s="1" t="n">
        <f aca="false">LEN(B226)</f>
        <v>20</v>
      </c>
      <c r="G226" s="1" t="n">
        <v>1</v>
      </c>
      <c r="K226" s="0" t="s">
        <v>747</v>
      </c>
      <c r="L226" s="0" t="s">
        <v>748</v>
      </c>
    </row>
    <row r="227" customFormat="false" ht="15" hidden="false" customHeight="false" outlineLevel="0" collapsed="false">
      <c r="A227" s="21" t="s">
        <v>749</v>
      </c>
      <c r="B227" s="1" t="s">
        <v>750</v>
      </c>
      <c r="C227" s="1" t="str">
        <f aca="false">IF(G227=0,E227,B227)</f>
        <v>GESTIÓN DE ALMACENES</v>
      </c>
      <c r="D227" s="1" t="n">
        <f aca="false">LEN(C227)</f>
        <v>21</v>
      </c>
      <c r="E227" s="1"/>
      <c r="F227" s="1" t="n">
        <f aca="false">LEN(B227)</f>
        <v>21</v>
      </c>
      <c r="G227" s="1" t="n">
        <v>1</v>
      </c>
      <c r="H227" s="19"/>
      <c r="I227" s="19"/>
      <c r="K227" s="0" t="s">
        <v>751</v>
      </c>
      <c r="L227" s="0" t="s">
        <v>752</v>
      </c>
    </row>
    <row r="228" customFormat="false" ht="15" hidden="false" customHeight="false" outlineLevel="0" collapsed="false">
      <c r="A228" s="21" t="s">
        <v>753</v>
      </c>
      <c r="B228" s="1" t="s">
        <v>447</v>
      </c>
      <c r="C228" s="1" t="str">
        <f aca="false">IF(G228=0,E228,B228)</f>
        <v>GEST CAL APLI INVE</v>
      </c>
      <c r="D228" s="1" t="n">
        <f aca="false">LEN(C228)</f>
        <v>18</v>
      </c>
      <c r="E228" s="1" t="s">
        <v>448</v>
      </c>
      <c r="F228" s="1" t="n">
        <f aca="false">LEN(B228)</f>
        <v>41</v>
      </c>
      <c r="G228" s="1" t="n">
        <v>0</v>
      </c>
      <c r="H228" s="19"/>
      <c r="I228" s="19"/>
      <c r="K228" s="0" t="s">
        <v>754</v>
      </c>
      <c r="L228" s="0" t="s">
        <v>755</v>
      </c>
    </row>
    <row r="229" customFormat="false" ht="15" hidden="false" customHeight="false" outlineLevel="0" collapsed="false">
      <c r="A229" s="30" t="s">
        <v>756</v>
      </c>
      <c r="B229" s="1" t="s">
        <v>447</v>
      </c>
      <c r="C229" s="1" t="str">
        <f aca="false">IF(G229=0,E229,B229)</f>
        <v>GEST CAL APLI INVE</v>
      </c>
      <c r="D229" s="1" t="n">
        <f aca="false">LEN(C229)</f>
        <v>18</v>
      </c>
      <c r="E229" s="1" t="s">
        <v>448</v>
      </c>
      <c r="F229" s="1" t="n">
        <f aca="false">LEN(B229)</f>
        <v>41</v>
      </c>
      <c r="G229" s="1" t="n">
        <v>0</v>
      </c>
      <c r="H229" s="17"/>
      <c r="I229" s="17"/>
      <c r="K229" s="0" t="s">
        <v>757</v>
      </c>
      <c r="L229" s="0" t="s">
        <v>758</v>
      </c>
    </row>
    <row r="230" customFormat="false" ht="15" hidden="false" customHeight="false" outlineLevel="0" collapsed="false">
      <c r="A230" s="18" t="s">
        <v>759</v>
      </c>
      <c r="B230" s="1" t="s">
        <v>452</v>
      </c>
      <c r="C230" s="1" t="str">
        <f aca="false">IF(G230=0,E230,B230)</f>
        <v>GEST ENTI FINA</v>
      </c>
      <c r="D230" s="1" t="n">
        <f aca="false">LEN(C230)</f>
        <v>14</v>
      </c>
      <c r="E230" s="1" t="s">
        <v>453</v>
      </c>
      <c r="F230" s="1" t="n">
        <f aca="false">LEN(B230)</f>
        <v>32</v>
      </c>
      <c r="G230" s="1" t="n">
        <v>0</v>
      </c>
      <c r="H230" s="19" t="n">
        <v>4</v>
      </c>
      <c r="I230" s="19"/>
      <c r="K230" s="0" t="s">
        <v>760</v>
      </c>
      <c r="L230" s="0" t="s">
        <v>761</v>
      </c>
    </row>
    <row r="231" customFormat="false" ht="15" hidden="false" customHeight="false" outlineLevel="0" collapsed="false">
      <c r="A231" s="16" t="s">
        <v>762</v>
      </c>
      <c r="B231" s="1" t="s">
        <v>455</v>
      </c>
      <c r="C231" s="1" t="str">
        <f aca="false">IF(G231=0,E231,B231)</f>
        <v>GEST CAL EVAL EDUC</v>
      </c>
      <c r="D231" s="1" t="n">
        <f aca="false">LEN(C231)</f>
        <v>18</v>
      </c>
      <c r="E231" s="1" t="s">
        <v>456</v>
      </c>
      <c r="F231" s="1" t="n">
        <f aca="false">LEN(B231)</f>
        <v>48</v>
      </c>
      <c r="G231" s="1" t="n">
        <v>0</v>
      </c>
      <c r="H231" s="17"/>
      <c r="I231" s="17"/>
      <c r="K231" s="0" t="s">
        <v>763</v>
      </c>
      <c r="L231" s="0" t="s">
        <v>764</v>
      </c>
    </row>
    <row r="232" customFormat="false" ht="15" hidden="false" customHeight="false" outlineLevel="0" collapsed="false">
      <c r="A232" s="18" t="s">
        <v>765</v>
      </c>
      <c r="B232" s="1" t="s">
        <v>458</v>
      </c>
      <c r="C232" s="1" t="str">
        <f aca="false">IF(G232=0,E232,B232)</f>
        <v>GEST RR HH ENTO EDUC</v>
      </c>
      <c r="D232" s="1" t="n">
        <f aca="false">LEN(C232)</f>
        <v>20</v>
      </c>
      <c r="E232" s="1" t="s">
        <v>459</v>
      </c>
      <c r="F232" s="1" t="n">
        <f aca="false">LEN(B232)</f>
        <v>50</v>
      </c>
      <c r="G232" s="1" t="n">
        <v>0</v>
      </c>
      <c r="H232" s="19"/>
      <c r="I232" s="19"/>
      <c r="K232" s="0" t="s">
        <v>766</v>
      </c>
      <c r="L232" s="0" t="s">
        <v>767</v>
      </c>
    </row>
    <row r="233" customFormat="false" ht="15" hidden="false" customHeight="false" outlineLevel="0" collapsed="false">
      <c r="A233" s="18" t="s">
        <v>768</v>
      </c>
      <c r="B233" s="1" t="s">
        <v>461</v>
      </c>
      <c r="C233" s="1" t="str">
        <f aca="false">IF(G233=0,E233,B233)</f>
        <v>GEST RR HH COMP</v>
      </c>
      <c r="D233" s="1" t="n">
        <f aca="false">LEN(C233)</f>
        <v>15</v>
      </c>
      <c r="E233" s="1" t="s">
        <v>462</v>
      </c>
      <c r="F233" s="1" t="n">
        <f aca="false">LEN(B233)</f>
        <v>44</v>
      </c>
      <c r="G233" s="1" t="n">
        <v>0</v>
      </c>
      <c r="H233" s="19" t="n">
        <v>4</v>
      </c>
      <c r="I233" s="19"/>
      <c r="K233" s="0" t="s">
        <v>769</v>
      </c>
      <c r="L233" s="0" t="s">
        <v>770</v>
      </c>
    </row>
    <row r="234" customFormat="false" ht="15" hidden="false" customHeight="false" outlineLevel="0" collapsed="false">
      <c r="A234" s="18" t="s">
        <v>771</v>
      </c>
      <c r="B234" s="1" t="s">
        <v>464</v>
      </c>
      <c r="C234" s="1" t="str">
        <f aca="false">IF(G234=0,E234,B234)</f>
        <v>GEST CAMBIO EDUC</v>
      </c>
      <c r="D234" s="1" t="n">
        <f aca="false">LEN(C234)</f>
        <v>16</v>
      </c>
      <c r="E234" s="1" t="s">
        <v>465</v>
      </c>
      <c r="F234" s="1" t="n">
        <f aca="false">LEN(B234)</f>
        <v>34</v>
      </c>
      <c r="G234" s="1" t="n">
        <v>0</v>
      </c>
      <c r="H234" s="19"/>
      <c r="I234" s="19"/>
      <c r="K234" s="0" t="s">
        <v>769</v>
      </c>
      <c r="L234" s="0" t="s">
        <v>770</v>
      </c>
    </row>
    <row r="235" customFormat="false" ht="15" hidden="false" customHeight="false" outlineLevel="0" collapsed="false">
      <c r="A235" s="18" t="s">
        <v>772</v>
      </c>
      <c r="B235" s="1" t="s">
        <v>773</v>
      </c>
      <c r="C235" s="1" t="str">
        <f aca="false">IF(G235=0,E235,B235)</f>
        <v>GESTIÓN FINANCIERA</v>
      </c>
      <c r="D235" s="1" t="n">
        <f aca="false">LEN(C235)</f>
        <v>19</v>
      </c>
      <c r="E235" s="1"/>
      <c r="F235" s="1" t="n">
        <f aca="false">LEN(B235)</f>
        <v>19</v>
      </c>
      <c r="G235" s="1" t="n">
        <v>1</v>
      </c>
      <c r="H235" s="19" t="n">
        <v>3</v>
      </c>
      <c r="I235" s="19"/>
      <c r="K235" s="0" t="s">
        <v>774</v>
      </c>
      <c r="L235" s="0" t="s">
        <v>775</v>
      </c>
    </row>
    <row r="236" customFormat="false" ht="15" hidden="false" customHeight="false" outlineLevel="0" collapsed="false">
      <c r="A236" s="22" t="s">
        <v>776</v>
      </c>
      <c r="B236" s="1" t="s">
        <v>467</v>
      </c>
      <c r="C236" s="1" t="str">
        <f aca="false">IF(G236=0,E236,B236)</f>
        <v>GLOB SOCI CONT</v>
      </c>
      <c r="D236" s="1" t="n">
        <f aca="false">LEN(C236)</f>
        <v>14</v>
      </c>
      <c r="E236" s="1" t="s">
        <v>468</v>
      </c>
      <c r="F236" s="1" t="n">
        <f aca="false">LEN(B236)</f>
        <v>38</v>
      </c>
      <c r="G236" s="1" t="n">
        <v>0</v>
      </c>
      <c r="H236" s="14" t="n">
        <v>3</v>
      </c>
      <c r="I236" s="14"/>
    </row>
    <row r="237" customFormat="false" ht="15" hidden="false" customHeight="false" outlineLevel="0" collapsed="false">
      <c r="A237" s="18" t="s">
        <v>777</v>
      </c>
      <c r="B237" s="1" t="s">
        <v>470</v>
      </c>
      <c r="C237" s="1" t="str">
        <f aca="false">IF(G237=0,E237,B237)</f>
        <v>GOBI GOBE CONT INTE</v>
      </c>
      <c r="D237" s="1" t="n">
        <f aca="false">LEN(C237)</f>
        <v>19</v>
      </c>
      <c r="E237" s="1" t="s">
        <v>471</v>
      </c>
      <c r="F237" s="1" t="n">
        <f aca="false">LEN(B237)</f>
        <v>38</v>
      </c>
      <c r="G237" s="1" t="n">
        <v>0</v>
      </c>
      <c r="H237" s="19" t="n">
        <v>4</v>
      </c>
      <c r="I237" s="19"/>
    </row>
    <row r="238" customFormat="false" ht="15" hidden="false" customHeight="false" outlineLevel="0" collapsed="false">
      <c r="A238" s="13" t="s">
        <v>778</v>
      </c>
      <c r="B238" s="1" t="s">
        <v>473</v>
      </c>
      <c r="C238" s="1" t="str">
        <f aca="false">IF(G238=0,E238,B238)</f>
        <v>GRAM ESPA TEORÍA ENSE</v>
      </c>
      <c r="D238" s="1" t="n">
        <f aca="false">LEN(C238)</f>
        <v>21</v>
      </c>
      <c r="E238" s="1" t="s">
        <v>474</v>
      </c>
      <c r="F238" s="1" t="n">
        <f aca="false">LEN(B238)</f>
        <v>38</v>
      </c>
      <c r="G238" s="1" t="n">
        <v>0</v>
      </c>
      <c r="H238" s="14" t="n">
        <v>3</v>
      </c>
      <c r="I238" s="14"/>
    </row>
    <row r="239" customFormat="false" ht="15" hidden="false" customHeight="false" outlineLevel="0" collapsed="false">
      <c r="A239" s="18" t="s">
        <v>779</v>
      </c>
      <c r="B239" s="1" t="s">
        <v>477</v>
      </c>
      <c r="C239" s="1" t="str">
        <f aca="false">IF(G239=0,E239,B239)</f>
        <v>HABI DIRE PRES</v>
      </c>
      <c r="D239" s="1" t="n">
        <f aca="false">LEN(C239)</f>
        <v>14</v>
      </c>
      <c r="E239" s="1" t="s">
        <v>478</v>
      </c>
      <c r="F239" s="1" t="n">
        <f aca="false">LEN(B239)</f>
        <v>37</v>
      </c>
      <c r="G239" s="1" t="n">
        <v>0</v>
      </c>
      <c r="H239" s="19"/>
      <c r="I239" s="19"/>
    </row>
    <row r="240" customFormat="false" ht="15" hidden="false" customHeight="false" outlineLevel="0" collapsed="false">
      <c r="A240" s="16" t="s">
        <v>780</v>
      </c>
      <c r="B240" s="1" t="s">
        <v>481</v>
      </c>
      <c r="C240" s="1" t="str">
        <f aca="false">IF(G240=0,E240,B240)</f>
        <v>HABI DOCE COMU</v>
      </c>
      <c r="D240" s="1" t="n">
        <f aca="false">LEN(C240)</f>
        <v>14</v>
      </c>
      <c r="E240" s="1" t="s">
        <v>482</v>
      </c>
      <c r="F240" s="1" t="n">
        <f aca="false">LEN(B240)</f>
        <v>41</v>
      </c>
      <c r="G240" s="1" t="n">
        <v>0</v>
      </c>
      <c r="H240" s="17" t="n">
        <v>3</v>
      </c>
      <c r="I240" s="17"/>
    </row>
    <row r="241" customFormat="false" ht="15" hidden="false" customHeight="false" outlineLevel="0" collapsed="false">
      <c r="A241" s="16" t="s">
        <v>781</v>
      </c>
      <c r="B241" s="1" t="s">
        <v>485</v>
      </c>
      <c r="C241" s="1" t="str">
        <f aca="false">IF(G241=0,E241,B241)</f>
        <v>HERR AVAN CAL</v>
      </c>
      <c r="D241" s="1" t="n">
        <f aca="false">LEN(C241)</f>
        <v>13</v>
      </c>
      <c r="E241" s="1" t="s">
        <v>486</v>
      </c>
      <c r="F241" s="1" t="n">
        <f aca="false">LEN(B241)</f>
        <v>33</v>
      </c>
      <c r="G241" s="1" t="n">
        <v>0</v>
      </c>
      <c r="H241" s="17" t="n">
        <v>4</v>
      </c>
      <c r="I241" s="17"/>
    </row>
    <row r="242" customFormat="false" ht="15" hidden="false" customHeight="false" outlineLevel="0" collapsed="false">
      <c r="A242" s="21" t="s">
        <v>782</v>
      </c>
      <c r="B242" s="1" t="s">
        <v>783</v>
      </c>
      <c r="C242" s="1" t="str">
        <f aca="false">IF(G242=0,E242,B242)</f>
        <v>HERR CAL EV CONTI</v>
      </c>
      <c r="D242" s="1" t="n">
        <f aca="false">LEN(C242)</f>
        <v>17</v>
      </c>
      <c r="E242" s="1" t="s">
        <v>784</v>
      </c>
      <c r="F242" s="1" t="n">
        <f aca="false">LEN(B242)</f>
        <v>48</v>
      </c>
      <c r="G242" s="1" t="n">
        <v>0</v>
      </c>
      <c r="H242" s="19"/>
      <c r="I242" s="19"/>
    </row>
    <row r="243" customFormat="false" ht="15" hidden="false" customHeight="false" outlineLevel="0" collapsed="false">
      <c r="A243" s="31" t="s">
        <v>785</v>
      </c>
      <c r="B243" s="1" t="s">
        <v>783</v>
      </c>
      <c r="C243" s="1" t="str">
        <f aca="false">IF(G243=0,E243,B243)</f>
        <v>HERR CAL EV CONTI</v>
      </c>
      <c r="D243" s="1" t="n">
        <f aca="false">LEN(C243)</f>
        <v>17</v>
      </c>
      <c r="E243" s="1" t="s">
        <v>784</v>
      </c>
      <c r="F243" s="1" t="n">
        <f aca="false">LEN(B243)</f>
        <v>48</v>
      </c>
      <c r="G243" s="1" t="n">
        <v>0</v>
      </c>
      <c r="H243" s="19"/>
      <c r="I243" s="19"/>
    </row>
    <row r="244" customFormat="false" ht="15" hidden="false" customHeight="false" outlineLevel="0" collapsed="false">
      <c r="A244" s="22" t="s">
        <v>786</v>
      </c>
      <c r="B244" s="1" t="s">
        <v>787</v>
      </c>
      <c r="C244" s="1" t="str">
        <f aca="false">IF(G244=0,E244,B244)</f>
        <v>HISTORIA ANTIGUA</v>
      </c>
      <c r="D244" s="1" t="n">
        <f aca="false">LEN(C244)</f>
        <v>16</v>
      </c>
      <c r="E244" s="1"/>
      <c r="F244" s="1" t="n">
        <f aca="false">LEN(B244)</f>
        <v>16</v>
      </c>
      <c r="G244" s="1" t="n">
        <v>1</v>
      </c>
      <c r="H244" s="14" t="n">
        <v>3</v>
      </c>
      <c r="I244" s="14"/>
    </row>
    <row r="245" customFormat="false" ht="15" hidden="false" customHeight="false" outlineLevel="0" collapsed="false">
      <c r="A245" s="24" t="s">
        <v>788</v>
      </c>
      <c r="B245" s="1" t="s">
        <v>492</v>
      </c>
      <c r="C245" s="1" t="str">
        <f aca="false">IF(G245=0,E245,B245)</f>
        <v>HIST CONT COSTA RICA I</v>
      </c>
      <c r="D245" s="1" t="n">
        <f aca="false">LEN(C245)</f>
        <v>22</v>
      </c>
      <c r="E245" s="1" t="s">
        <v>493</v>
      </c>
      <c r="F245" s="1" t="n">
        <f aca="false">LEN(B245)</f>
        <v>38</v>
      </c>
      <c r="G245" s="1" t="n">
        <v>0</v>
      </c>
      <c r="H245" s="6" t="n">
        <v>3</v>
      </c>
      <c r="I245" s="6"/>
    </row>
    <row r="246" customFormat="false" ht="15" hidden="false" customHeight="false" outlineLevel="0" collapsed="false">
      <c r="A246" s="22" t="s">
        <v>789</v>
      </c>
      <c r="B246" s="1" t="s">
        <v>495</v>
      </c>
      <c r="C246" s="1" t="str">
        <f aca="false">IF(G246=0,E246,B246)</f>
        <v>HIST CONT COSTA RICA II</v>
      </c>
      <c r="D246" s="1" t="n">
        <f aca="false">LEN(C246)</f>
        <v>23</v>
      </c>
      <c r="E246" s="1" t="s">
        <v>496</v>
      </c>
      <c r="F246" s="1" t="n">
        <f aca="false">LEN(B246)</f>
        <v>39</v>
      </c>
      <c r="G246" s="1" t="n">
        <v>0</v>
      </c>
      <c r="H246" s="6" t="n">
        <v>3</v>
      </c>
      <c r="I246" s="6"/>
    </row>
    <row r="247" customFormat="false" ht="15" hidden="false" customHeight="false" outlineLevel="0" collapsed="false">
      <c r="A247" s="22" t="s">
        <v>790</v>
      </c>
      <c r="B247" s="1" t="s">
        <v>791</v>
      </c>
      <c r="C247" s="1" t="str">
        <f aca="false">IF(G247=0,E247,B247)</f>
        <v>HISTORIA DE AMÉRICA I</v>
      </c>
      <c r="D247" s="1" t="n">
        <f aca="false">LEN(C247)</f>
        <v>22</v>
      </c>
      <c r="E247" s="1"/>
      <c r="F247" s="1" t="n">
        <f aca="false">LEN(B247)</f>
        <v>22</v>
      </c>
      <c r="G247" s="1" t="n">
        <v>1</v>
      </c>
      <c r="H247" s="6" t="n">
        <v>3</v>
      </c>
      <c r="I247" s="6"/>
    </row>
    <row r="248" customFormat="false" ht="15" hidden="false" customHeight="false" outlineLevel="0" collapsed="false">
      <c r="A248" s="22" t="s">
        <v>792</v>
      </c>
      <c r="B248" s="1" t="s">
        <v>793</v>
      </c>
      <c r="C248" s="1" t="str">
        <f aca="false">IF(G248=0,E248,B248)</f>
        <v>HISTORIA DE AMÉRICA II</v>
      </c>
      <c r="D248" s="1" t="n">
        <f aca="false">LEN(C248)</f>
        <v>22</v>
      </c>
      <c r="E248" s="1"/>
      <c r="F248" s="1" t="n">
        <f aca="false">LEN(B248)</f>
        <v>22</v>
      </c>
      <c r="G248" s="1" t="n">
        <v>1</v>
      </c>
      <c r="H248" s="14" t="n">
        <v>3</v>
      </c>
      <c r="I248" s="6"/>
    </row>
    <row r="249" customFormat="false" ht="15" hidden="false" customHeight="false" outlineLevel="0" collapsed="false">
      <c r="A249" s="25" t="s">
        <v>794</v>
      </c>
      <c r="B249" s="1" t="s">
        <v>795</v>
      </c>
      <c r="C249" s="1" t="str">
        <f aca="false">IF(G249=0,E249,B249)</f>
        <v>HISTORIA DEL DERECHO</v>
      </c>
      <c r="D249" s="1" t="n">
        <f aca="false">LEN(C249)</f>
        <v>20</v>
      </c>
      <c r="E249" s="1"/>
      <c r="F249" s="1" t="n">
        <f aca="false">LEN(B249)</f>
        <v>20</v>
      </c>
      <c r="G249" s="1" t="n">
        <v>1</v>
      </c>
      <c r="H249" s="32" t="n">
        <v>3</v>
      </c>
    </row>
    <row r="250" customFormat="false" ht="15" hidden="false" customHeight="false" outlineLevel="0" collapsed="false">
      <c r="A250" s="24" t="s">
        <v>796</v>
      </c>
      <c r="B250" s="1" t="s">
        <v>797</v>
      </c>
      <c r="C250" s="1" t="str">
        <f aca="false">IF(G250=0,E250,B250)</f>
        <v>HISTORIA MEDIEVAL</v>
      </c>
      <c r="D250" s="1" t="n">
        <f aca="false">LEN(C250)</f>
        <v>17</v>
      </c>
      <c r="E250" s="1"/>
      <c r="F250" s="1" t="n">
        <f aca="false">LEN(B250)</f>
        <v>17</v>
      </c>
      <c r="G250" s="1" t="n">
        <v>1</v>
      </c>
      <c r="H250" s="33" t="n">
        <v>3</v>
      </c>
      <c r="I250" s="6"/>
    </row>
    <row r="251" customFormat="false" ht="15" hidden="false" customHeight="false" outlineLevel="0" collapsed="false">
      <c r="A251" s="22" t="s">
        <v>798</v>
      </c>
      <c r="B251" s="1" t="s">
        <v>799</v>
      </c>
      <c r="C251" s="1" t="str">
        <f aca="false">IF(G251=0,E251,B251)</f>
        <v>HISTORIA MUNDIAL I</v>
      </c>
      <c r="D251" s="1" t="n">
        <f aca="false">LEN(C251)</f>
        <v>18</v>
      </c>
      <c r="E251" s="1"/>
      <c r="F251" s="1" t="n">
        <f aca="false">LEN(B251)</f>
        <v>18</v>
      </c>
      <c r="G251" s="1" t="n">
        <v>1</v>
      </c>
      <c r="H251" s="14" t="n">
        <v>3</v>
      </c>
      <c r="I251" s="6"/>
    </row>
    <row r="252" customFormat="false" ht="15" hidden="false" customHeight="false" outlineLevel="0" collapsed="false">
      <c r="A252" s="22" t="s">
        <v>800</v>
      </c>
      <c r="B252" s="1" t="s">
        <v>801</v>
      </c>
      <c r="C252" s="1" t="str">
        <f aca="false">IF(G252=0,E252,B252)</f>
        <v>HISTORIA MUNDIAL II</v>
      </c>
      <c r="D252" s="1" t="n">
        <f aca="false">LEN(C252)</f>
        <v>19</v>
      </c>
      <c r="E252" s="1"/>
      <c r="F252" s="1" t="n">
        <f aca="false">LEN(B252)</f>
        <v>19</v>
      </c>
      <c r="G252" s="1" t="n">
        <v>1</v>
      </c>
      <c r="H252" s="14" t="n">
        <v>3</v>
      </c>
      <c r="I252" s="6"/>
    </row>
    <row r="253" customFormat="false" ht="15" hidden="false" customHeight="false" outlineLevel="0" collapsed="false">
      <c r="A253" s="18" t="s">
        <v>802</v>
      </c>
      <c r="B253" s="1" t="s">
        <v>498</v>
      </c>
      <c r="C253" s="1" t="str">
        <f aca="false">IF(G253=0,E253,B253)</f>
        <v>HIST APRE ARTE</v>
      </c>
      <c r="D253" s="1" t="n">
        <f aca="false">LEN(C253)</f>
        <v>14</v>
      </c>
      <c r="E253" s="1" t="s">
        <v>499</v>
      </c>
      <c r="F253" s="1" t="n">
        <f aca="false">LEN(B253)</f>
        <v>31</v>
      </c>
      <c r="G253" s="1" t="n">
        <v>0</v>
      </c>
      <c r="H253" s="19"/>
    </row>
    <row r="254" customFormat="false" ht="15" hidden="false" customHeight="false" outlineLevel="0" collapsed="false">
      <c r="A254" s="22" t="s">
        <v>803</v>
      </c>
      <c r="B254" s="1" t="s">
        <v>804</v>
      </c>
      <c r="C254" s="1" t="str">
        <f aca="false">IF(G254=0,E254,B254)</f>
        <v>HIST CULT COSTA RICA I</v>
      </c>
      <c r="D254" s="1" t="n">
        <f aca="false">LEN(C254)</f>
        <v>22</v>
      </c>
      <c r="E254" s="1" t="s">
        <v>503</v>
      </c>
      <c r="F254" s="1" t="n">
        <f aca="false">LEN(B254)</f>
        <v>35</v>
      </c>
      <c r="G254" s="1" t="n">
        <v>0</v>
      </c>
      <c r="H254" s="14" t="n">
        <v>3</v>
      </c>
      <c r="I254" s="6"/>
    </row>
    <row r="255" customFormat="false" ht="15" hidden="false" customHeight="false" outlineLevel="0" collapsed="false">
      <c r="A255" s="22" t="s">
        <v>805</v>
      </c>
      <c r="B255" s="1" t="s">
        <v>506</v>
      </c>
      <c r="C255" s="1" t="str">
        <f aca="false">IF(G255=0,E255,B255)</f>
        <v>HIST CULT COSTA RICA II</v>
      </c>
      <c r="D255" s="1" t="n">
        <f aca="false">LEN(C255)</f>
        <v>23</v>
      </c>
      <c r="E255" s="1" t="s">
        <v>507</v>
      </c>
      <c r="F255" s="1" t="n">
        <f aca="false">LEN(B255)</f>
        <v>35</v>
      </c>
      <c r="G255" s="1" t="n">
        <v>0</v>
      </c>
      <c r="H255" s="14" t="n">
        <v>3</v>
      </c>
      <c r="I255" s="6"/>
    </row>
    <row r="256" customFormat="false" ht="15" hidden="false" customHeight="false" outlineLevel="0" collapsed="false">
      <c r="A256" s="13" t="s">
        <v>806</v>
      </c>
      <c r="B256" s="1" t="s">
        <v>509</v>
      </c>
      <c r="C256" s="1" t="str">
        <f aca="false">IF(G256=0,E256,B256)</f>
        <v>HIST CULT EPIS MATE</v>
      </c>
      <c r="D256" s="1" t="n">
        <f aca="false">LEN(C256)</f>
        <v>19</v>
      </c>
      <c r="E256" s="1" t="s">
        <v>510</v>
      </c>
      <c r="F256" s="1" t="n">
        <f aca="false">LEN(B256)</f>
        <v>50</v>
      </c>
      <c r="G256" s="1" t="n">
        <v>0</v>
      </c>
      <c r="H256" s="14" t="n">
        <v>3</v>
      </c>
    </row>
    <row r="257" customFormat="false" ht="15" hidden="false" customHeight="false" outlineLevel="0" collapsed="false">
      <c r="A257" s="22" t="s">
        <v>807</v>
      </c>
      <c r="B257" s="1" t="s">
        <v>512</v>
      </c>
      <c r="C257" s="1" t="str">
        <f aca="false">IF(G257=0,E257,B257)</f>
        <v>INDA CIEN EXPL ENTO I II CI</v>
      </c>
      <c r="D257" s="1" t="n">
        <f aca="false">LEN(C257)</f>
        <v>27</v>
      </c>
      <c r="E257" s="1" t="s">
        <v>513</v>
      </c>
      <c r="F257" s="1" t="n">
        <f aca="false">LEN(B257)</f>
        <v>62</v>
      </c>
      <c r="G257" s="1" t="n">
        <v>0</v>
      </c>
      <c r="H257" s="14" t="n">
        <v>3</v>
      </c>
    </row>
    <row r="258" customFormat="false" ht="15" hidden="false" customHeight="false" outlineLevel="0" collapsed="false">
      <c r="A258" s="18" t="s">
        <v>808</v>
      </c>
      <c r="B258" s="1" t="s">
        <v>809</v>
      </c>
      <c r="C258" s="1" t="str">
        <f aca="false">IF(G258=0,E258,B258)</f>
        <v>INDI DESE EDU RUTAS APRENDI</v>
      </c>
      <c r="D258" s="1" t="n">
        <f aca="false">LEN(C258)</f>
        <v>27</v>
      </c>
      <c r="E258" s="1" t="s">
        <v>810</v>
      </c>
      <c r="F258" s="1" t="n">
        <f aca="false">LEN(B258)</f>
        <v>58</v>
      </c>
      <c r="G258" s="1" t="n">
        <v>0</v>
      </c>
      <c r="H258" s="19"/>
    </row>
    <row r="259" customFormat="false" ht="15" hidden="false" customHeight="false" outlineLevel="0" collapsed="false">
      <c r="A259" s="18" t="s">
        <v>811</v>
      </c>
      <c r="B259" s="1" t="s">
        <v>812</v>
      </c>
      <c r="C259" s="1" t="str">
        <f aca="false">IF(G259=0,E259,B259)</f>
        <v>INGENIERÍA DE CONFIABILIDAD</v>
      </c>
      <c r="D259" s="1" t="n">
        <f aca="false">LEN(C259)</f>
        <v>27</v>
      </c>
      <c r="E259" s="1"/>
      <c r="F259" s="1" t="n">
        <f aca="false">LEN(B259)</f>
        <v>27</v>
      </c>
      <c r="G259" s="1" t="n">
        <v>1</v>
      </c>
      <c r="H259" s="19" t="n">
        <v>4</v>
      </c>
    </row>
    <row r="260" customFormat="false" ht="15" hidden="false" customHeight="false" outlineLevel="0" collapsed="false">
      <c r="A260" s="18" t="s">
        <v>813</v>
      </c>
      <c r="B260" s="1" t="s">
        <v>518</v>
      </c>
      <c r="C260" s="1" t="str">
        <f aca="false">IF(G260=0,E260,B260)</f>
        <v>INNO CURR ENSE CIEN</v>
      </c>
      <c r="D260" s="1" t="n">
        <f aca="false">LEN(C260)</f>
        <v>19</v>
      </c>
      <c r="E260" s="1" t="s">
        <v>519</v>
      </c>
      <c r="F260" s="1" t="n">
        <f aca="false">LEN(B260)</f>
        <v>53</v>
      </c>
      <c r="G260" s="1" t="n">
        <v>0</v>
      </c>
      <c r="H260" s="19"/>
    </row>
    <row r="261" customFormat="false" ht="15" hidden="false" customHeight="false" outlineLevel="0" collapsed="false">
      <c r="A261" s="16" t="s">
        <v>814</v>
      </c>
      <c r="B261" s="1" t="s">
        <v>522</v>
      </c>
      <c r="C261" s="1" t="str">
        <f aca="false">IF(G261=0,E261,B261)</f>
        <v>INNO TECN INCL EDUC</v>
      </c>
      <c r="D261" s="1" t="n">
        <f aca="false">LEN(C261)</f>
        <v>19</v>
      </c>
      <c r="E261" s="1" t="s">
        <v>523</v>
      </c>
      <c r="F261" s="1" t="n">
        <f aca="false">LEN(B261)</f>
        <v>50</v>
      </c>
      <c r="G261" s="1" t="n">
        <v>0</v>
      </c>
      <c r="H261" s="17"/>
    </row>
    <row r="262" customFormat="false" ht="15" hidden="false" customHeight="false" outlineLevel="0" collapsed="false">
      <c r="A262" s="27" t="s">
        <v>815</v>
      </c>
      <c r="B262" s="1" t="s">
        <v>525</v>
      </c>
      <c r="C262" s="1" t="str">
        <f aca="false">IF(G262=0,E262,B262)</f>
        <v>INTE SABE MATE AVAN MODE</v>
      </c>
      <c r="D262" s="1" t="n">
        <f aca="false">LEN(C262)</f>
        <v>24</v>
      </c>
      <c r="E262" s="1" t="s">
        <v>526</v>
      </c>
      <c r="F262" s="1" t="n">
        <f aca="false">LEN(B262)</f>
        <v>57</v>
      </c>
      <c r="G262" s="1" t="n">
        <v>0</v>
      </c>
      <c r="H262" s="17"/>
    </row>
    <row r="263" customFormat="false" ht="15" hidden="false" customHeight="false" outlineLevel="0" collapsed="false">
      <c r="A263" s="18" t="s">
        <v>816</v>
      </c>
      <c r="B263" s="1" t="s">
        <v>529</v>
      </c>
      <c r="C263" s="1" t="str">
        <f aca="false">IF(G263=0,E263,B263)</f>
        <v>INTE ARTI EDUC</v>
      </c>
      <c r="D263" s="1" t="n">
        <f aca="false">LEN(C263)</f>
        <v>14</v>
      </c>
      <c r="E263" s="1" t="s">
        <v>530</v>
      </c>
      <c r="F263" s="1" t="n">
        <f aca="false">LEN(B263)</f>
        <v>36</v>
      </c>
      <c r="G263" s="1" t="n">
        <v>0</v>
      </c>
      <c r="H263" s="19"/>
    </row>
    <row r="264" customFormat="false" ht="15" hidden="false" customHeight="false" outlineLevel="0" collapsed="false">
      <c r="A264" s="20" t="s">
        <v>817</v>
      </c>
      <c r="B264" s="1" t="s">
        <v>533</v>
      </c>
      <c r="C264" s="1" t="str">
        <f aca="false">IF(G264=0,E264,B264)</f>
        <v>INTR CAL CADENA SUMI</v>
      </c>
      <c r="D264" s="1" t="n">
        <f aca="false">LEN(C264)</f>
        <v>20</v>
      </c>
      <c r="E264" s="1" t="s">
        <v>534</v>
      </c>
      <c r="F264" s="1" t="n">
        <f aca="false">LEN(B264)</f>
        <v>48</v>
      </c>
      <c r="G264" s="1" t="n">
        <v>0</v>
      </c>
      <c r="H264" s="19"/>
    </row>
    <row r="265" customFormat="false" ht="15" hidden="false" customHeight="false" outlineLevel="0" collapsed="false">
      <c r="A265" s="21" t="s">
        <v>818</v>
      </c>
      <c r="B265" s="1" t="s">
        <v>819</v>
      </c>
      <c r="C265" s="1" t="str">
        <f aca="false">IF(G265=0,E265,B265)</f>
        <v>INTR CAL CADENA SUMI</v>
      </c>
      <c r="D265" s="1" t="n">
        <f aca="false">LEN(C265)</f>
        <v>20</v>
      </c>
      <c r="E265" s="1" t="s">
        <v>534</v>
      </c>
      <c r="F265" s="1" t="n">
        <f aca="false">LEN(B265)</f>
        <v>49</v>
      </c>
      <c r="G265" s="1" t="n">
        <v>0</v>
      </c>
      <c r="H265" s="19"/>
    </row>
    <row r="266" customFormat="false" ht="15" hidden="false" customHeight="false" outlineLevel="0" collapsed="false">
      <c r="A266" s="20" t="s">
        <v>820</v>
      </c>
      <c r="B266" s="1" t="s">
        <v>537</v>
      </c>
      <c r="C266" s="1" t="str">
        <f aca="false">IF(G266=0,E266,B266)</f>
        <v>INTR ESTA INFE APLI EMPR</v>
      </c>
      <c r="D266" s="1" t="n">
        <f aca="false">LEN(C266)</f>
        <v>24</v>
      </c>
      <c r="E266" s="1" t="s">
        <v>538</v>
      </c>
      <c r="F266" s="1" t="n">
        <f aca="false">LEN(B266)</f>
        <v>65</v>
      </c>
      <c r="G266" s="1" t="n">
        <v>0</v>
      </c>
      <c r="H266" s="19"/>
    </row>
    <row r="267" customFormat="false" ht="15" hidden="false" customHeight="false" outlineLevel="0" collapsed="false">
      <c r="A267" s="23" t="s">
        <v>821</v>
      </c>
      <c r="B267" s="1" t="s">
        <v>822</v>
      </c>
      <c r="C267" s="1" t="str">
        <f aca="false">IF(G267=0,E267,B267)</f>
        <v>INTR ESTA INFE APLI EMPR</v>
      </c>
      <c r="D267" s="1" t="n">
        <f aca="false">LEN(C267)</f>
        <v>24</v>
      </c>
      <c r="E267" s="1" t="s">
        <v>538</v>
      </c>
      <c r="F267" s="1" t="n">
        <f aca="false">LEN(B267)</f>
        <v>66</v>
      </c>
      <c r="G267" s="1" t="n">
        <v>0</v>
      </c>
    </row>
    <row r="268" customFormat="false" ht="15" hidden="false" customHeight="false" outlineLevel="0" collapsed="false">
      <c r="A268" s="13" t="s">
        <v>823</v>
      </c>
      <c r="B268" s="1" t="s">
        <v>541</v>
      </c>
      <c r="C268" s="1" t="str">
        <f aca="false">IF(G268=0,E268,B268)</f>
        <v>INTR LING</v>
      </c>
      <c r="D268" s="1" t="n">
        <f aca="false">LEN(C268)</f>
        <v>9</v>
      </c>
      <c r="E268" s="1" t="s">
        <v>542</v>
      </c>
      <c r="F268" s="1" t="n">
        <f aca="false">LEN(B268)</f>
        <v>29</v>
      </c>
      <c r="G268" s="1" t="n">
        <v>0</v>
      </c>
      <c r="H268" s="6" t="n">
        <v>3</v>
      </c>
      <c r="I268" s="6"/>
    </row>
    <row r="269" customFormat="false" ht="15" hidden="false" customHeight="false" outlineLevel="0" collapsed="false">
      <c r="A269" s="18" t="s">
        <v>824</v>
      </c>
      <c r="B269" s="1" t="s">
        <v>544</v>
      </c>
      <c r="C269" s="1" t="str">
        <f aca="false">IF(G269=0,E269,B269)</f>
        <v>INTR PUBL</v>
      </c>
      <c r="D269" s="1" t="n">
        <f aca="false">LEN(C269)</f>
        <v>9</v>
      </c>
      <c r="E269" s="1" t="s">
        <v>545</v>
      </c>
      <c r="F269" s="1" t="n">
        <f aca="false">LEN(B269)</f>
        <v>28</v>
      </c>
      <c r="G269" s="1" t="n">
        <v>0</v>
      </c>
    </row>
    <row r="270" customFormat="false" ht="15" hidden="false" customHeight="false" outlineLevel="0" collapsed="false">
      <c r="A270" s="18" t="s">
        <v>825</v>
      </c>
      <c r="B270" s="1" t="s">
        <v>826</v>
      </c>
      <c r="C270" s="1" t="str">
        <f aca="false">IF(G270=0,E270,B270)</f>
        <v>INTRODUCCIÓN A LAS CIENCIAS</v>
      </c>
      <c r="D270" s="1" t="n">
        <f aca="false">LEN(C270)</f>
        <v>27</v>
      </c>
      <c r="E270" s="1"/>
      <c r="F270" s="1" t="n">
        <f aca="false">LEN(B270)</f>
        <v>27</v>
      </c>
      <c r="G270" s="1" t="n">
        <v>1</v>
      </c>
      <c r="H270" s="19" t="n">
        <v>3</v>
      </c>
    </row>
    <row r="271" customFormat="false" ht="15" hidden="false" customHeight="false" outlineLevel="0" collapsed="false">
      <c r="A271" s="16" t="s">
        <v>827</v>
      </c>
      <c r="B271" s="1" t="s">
        <v>547</v>
      </c>
      <c r="C271" s="1" t="str">
        <f aca="false">IF(G271=0,E271,B271)</f>
        <v>INTR RELA PUBL</v>
      </c>
      <c r="D271" s="1" t="n">
        <f aca="false">LEN(C271)</f>
        <v>14</v>
      </c>
      <c r="E271" s="1" t="s">
        <v>548</v>
      </c>
      <c r="F271" s="1" t="n">
        <f aca="false">LEN(B271)</f>
        <v>38</v>
      </c>
      <c r="G271" s="1" t="n">
        <v>0</v>
      </c>
      <c r="H271" s="17"/>
    </row>
    <row r="272" customFormat="false" ht="15" hidden="false" customHeight="false" outlineLevel="0" collapsed="false">
      <c r="A272" s="22" t="s">
        <v>828</v>
      </c>
      <c r="B272" s="1" t="s">
        <v>551</v>
      </c>
      <c r="C272" s="1" t="str">
        <f aca="false">IF(G272=0,E272,B272)</f>
        <v>INTR ESTU SOCI</v>
      </c>
      <c r="D272" s="1" t="n">
        <f aca="false">LEN(C272)</f>
        <v>14</v>
      </c>
      <c r="E272" s="1" t="s">
        <v>552</v>
      </c>
      <c r="F272" s="1" t="n">
        <f aca="false">LEN(B272)</f>
        <v>36</v>
      </c>
      <c r="G272" s="1" t="n">
        <v>0</v>
      </c>
      <c r="H272" s="14" t="n">
        <v>3</v>
      </c>
      <c r="I272" s="6"/>
    </row>
    <row r="273" customFormat="false" ht="15" hidden="false" customHeight="false" outlineLevel="0" collapsed="false">
      <c r="A273" s="34" t="s">
        <v>829</v>
      </c>
      <c r="B273" s="1" t="s">
        <v>830</v>
      </c>
      <c r="C273" s="1" t="str">
        <f aca="false">IF(G273=0,E273,B273)</f>
        <v>LATIN BÁSICO</v>
      </c>
      <c r="D273" s="1" t="n">
        <f aca="false">LEN(C273)</f>
        <v>12</v>
      </c>
      <c r="E273" s="1"/>
      <c r="F273" s="1" t="n">
        <f aca="false">LEN(B273)</f>
        <v>12</v>
      </c>
      <c r="G273" s="1" t="n">
        <v>1</v>
      </c>
      <c r="H273" s="33" t="n">
        <v>3</v>
      </c>
      <c r="I273" s="6"/>
    </row>
    <row r="274" customFormat="false" ht="15" hidden="false" customHeight="false" outlineLevel="0" collapsed="false">
      <c r="A274" s="16" t="s">
        <v>831</v>
      </c>
      <c r="B274" s="1" t="s">
        <v>555</v>
      </c>
      <c r="C274" s="1" t="str">
        <f aca="false">IF(G274=0,E274,B274)</f>
        <v>LIDE PROY EDUC</v>
      </c>
      <c r="D274" s="1" t="n">
        <f aca="false">LEN(C274)</f>
        <v>14</v>
      </c>
      <c r="E274" s="1" t="s">
        <v>556</v>
      </c>
      <c r="F274" s="1" t="n">
        <f aca="false">LEN(B274)</f>
        <v>33</v>
      </c>
      <c r="G274" s="1" t="n">
        <v>0</v>
      </c>
      <c r="H274" s="17" t="n">
        <v>3</v>
      </c>
    </row>
    <row r="275" customFormat="false" ht="15" hidden="false" customHeight="false" outlineLevel="0" collapsed="false">
      <c r="A275" s="16" t="s">
        <v>832</v>
      </c>
      <c r="B275" s="1" t="s">
        <v>558</v>
      </c>
      <c r="C275" s="1" t="str">
        <f aca="false">IF(G275=0,E275,B275)</f>
        <v>LIDE GEST EDUC TRAN</v>
      </c>
      <c r="D275" s="1" t="n">
        <f aca="false">LEN(C275)</f>
        <v>19</v>
      </c>
      <c r="E275" s="1" t="s">
        <v>559</v>
      </c>
      <c r="F275" s="1" t="n">
        <f aca="false">LEN(B275)</f>
        <v>44</v>
      </c>
      <c r="G275" s="1" t="n">
        <v>0</v>
      </c>
    </row>
    <row r="276" customFormat="false" ht="15" hidden="false" customHeight="false" outlineLevel="0" collapsed="false">
      <c r="A276" s="13" t="s">
        <v>833</v>
      </c>
      <c r="B276" s="1" t="s">
        <v>834</v>
      </c>
      <c r="C276" s="1" t="str">
        <f aca="false">IF(G276=0,E276,B276)</f>
        <v>LITERATURA COSTARRICENSE</v>
      </c>
      <c r="D276" s="1" t="n">
        <f aca="false">LEN(C276)</f>
        <v>24</v>
      </c>
      <c r="E276" s="1"/>
      <c r="F276" s="1" t="n">
        <f aca="false">LEN(B276)</f>
        <v>24</v>
      </c>
      <c r="G276" s="1" t="n">
        <v>1</v>
      </c>
      <c r="H276" s="6" t="n">
        <v>3</v>
      </c>
      <c r="I276" s="6"/>
    </row>
    <row r="277" customFormat="false" ht="15" hidden="false" customHeight="false" outlineLevel="0" collapsed="false">
      <c r="A277" s="13" t="s">
        <v>835</v>
      </c>
      <c r="B277" s="1" t="s">
        <v>836</v>
      </c>
      <c r="C277" s="1" t="str">
        <f aca="false">IF(G277=0,E277,B277)</f>
        <v>LITERATURA ESPAÑOLA</v>
      </c>
      <c r="D277" s="1" t="n">
        <f aca="false">LEN(C277)</f>
        <v>19</v>
      </c>
      <c r="E277" s="1"/>
      <c r="F277" s="1" t="n">
        <f aca="false">LEN(B277)</f>
        <v>19</v>
      </c>
      <c r="G277" s="1" t="n">
        <v>1</v>
      </c>
      <c r="H277" s="6" t="n">
        <v>3</v>
      </c>
      <c r="I277" s="6"/>
    </row>
    <row r="278" customFormat="false" ht="15" hidden="false" customHeight="false" outlineLevel="0" collapsed="false">
      <c r="A278" s="15" t="s">
        <v>837</v>
      </c>
      <c r="B278" s="1" t="s">
        <v>838</v>
      </c>
      <c r="C278" s="1" t="str">
        <f aca="false">IF(G278=0,E278,B278)</f>
        <v>LITERATURA GRECORROMANA</v>
      </c>
      <c r="D278" s="1" t="n">
        <f aca="false">LEN(C278)</f>
        <v>23</v>
      </c>
      <c r="E278" s="1"/>
      <c r="F278" s="1" t="n">
        <f aca="false">LEN(B278)</f>
        <v>23</v>
      </c>
      <c r="G278" s="1" t="n">
        <v>1</v>
      </c>
      <c r="H278" s="6" t="n">
        <v>3</v>
      </c>
      <c r="I278" s="6"/>
    </row>
    <row r="279" customFormat="false" ht="15" hidden="false" customHeight="false" outlineLevel="0" collapsed="false">
      <c r="A279" s="13" t="s">
        <v>839</v>
      </c>
      <c r="B279" s="1" t="s">
        <v>840</v>
      </c>
      <c r="C279" s="1" t="str">
        <f aca="false">IF(G279=0,E279,B279)</f>
        <v>LITERATURA HISPANOAMERICANA</v>
      </c>
      <c r="D279" s="1" t="n">
        <f aca="false">LEN(C279)</f>
        <v>27</v>
      </c>
      <c r="E279" s="1"/>
      <c r="F279" s="1" t="n">
        <f aca="false">LEN(B279)</f>
        <v>27</v>
      </c>
      <c r="G279" s="1" t="n">
        <v>1</v>
      </c>
      <c r="H279" s="14" t="n">
        <v>3</v>
      </c>
      <c r="I279" s="6"/>
    </row>
    <row r="280" customFormat="false" ht="15" hidden="false" customHeight="false" outlineLevel="0" collapsed="false">
      <c r="A280" s="22" t="s">
        <v>841</v>
      </c>
      <c r="B280" s="1" t="s">
        <v>842</v>
      </c>
      <c r="C280" s="1" t="str">
        <f aca="false">IF(G280=0,E280,B280)</f>
        <v>LITERATURA INFANTIL</v>
      </c>
      <c r="D280" s="1" t="n">
        <f aca="false">LEN(C280)</f>
        <v>19</v>
      </c>
      <c r="E280" s="1"/>
      <c r="F280" s="1" t="n">
        <f aca="false">LEN(B280)</f>
        <v>19</v>
      </c>
      <c r="G280" s="1" t="n">
        <v>1</v>
      </c>
      <c r="H280" s="14" t="n">
        <v>3</v>
      </c>
    </row>
    <row r="281" customFormat="false" ht="15" hidden="false" customHeight="false" outlineLevel="0" collapsed="false">
      <c r="A281" s="35" t="s">
        <v>843</v>
      </c>
      <c r="B281" s="1" t="s">
        <v>844</v>
      </c>
      <c r="C281" s="1" t="str">
        <f aca="false">IF(G281=0,E281,B281)</f>
        <v>LITERATURA LATINOAMERICANA</v>
      </c>
      <c r="D281" s="1" t="n">
        <f aca="false">LEN(C281)</f>
        <v>26</v>
      </c>
      <c r="E281" s="1"/>
      <c r="F281" s="1" t="n">
        <f aca="false">LEN(B281)</f>
        <v>26</v>
      </c>
      <c r="G281" s="1" t="n">
        <v>1</v>
      </c>
      <c r="H281" s="33" t="n">
        <v>3</v>
      </c>
      <c r="I281" s="6"/>
    </row>
    <row r="282" customFormat="false" ht="15" hidden="false" customHeight="false" outlineLevel="0" collapsed="false">
      <c r="A282" s="18" t="s">
        <v>845</v>
      </c>
      <c r="B282" s="1" t="s">
        <v>561</v>
      </c>
      <c r="C282" s="1" t="str">
        <f aca="false">IF(G282=0,E282,B282)</f>
        <v>LOG CADENA SUMI</v>
      </c>
      <c r="D282" s="1" t="n">
        <f aca="false">LEN(C282)</f>
        <v>15</v>
      </c>
      <c r="E282" s="1" t="s">
        <v>562</v>
      </c>
      <c r="F282" s="1" t="n">
        <f aca="false">LEN(B282)</f>
        <v>33</v>
      </c>
      <c r="G282" s="1" t="n">
        <v>0</v>
      </c>
      <c r="H282" s="19" t="n">
        <v>4</v>
      </c>
    </row>
    <row r="283" customFormat="false" ht="15" hidden="false" customHeight="false" outlineLevel="0" collapsed="false">
      <c r="A283" s="18" t="s">
        <v>846</v>
      </c>
      <c r="B283" s="1" t="s">
        <v>564</v>
      </c>
      <c r="C283" s="1" t="str">
        <f aca="false">IF(G283=0,E283,B283)</f>
        <v>LOG CANA DIST</v>
      </c>
      <c r="D283" s="1" t="n">
        <f aca="false">LEN(C283)</f>
        <v>13</v>
      </c>
      <c r="E283" s="1" t="s">
        <v>565</v>
      </c>
      <c r="F283" s="1" t="n">
        <f aca="false">LEN(B283)</f>
        <v>35</v>
      </c>
      <c r="G283" s="1" t="n">
        <v>0</v>
      </c>
      <c r="H283" s="19" t="n">
        <v>4</v>
      </c>
    </row>
    <row r="284" customFormat="false" ht="15" hidden="false" customHeight="false" outlineLevel="0" collapsed="false">
      <c r="A284" s="18" t="s">
        <v>847</v>
      </c>
      <c r="B284" s="1" t="s">
        <v>848</v>
      </c>
      <c r="C284" s="1" t="str">
        <f aca="false">IF(G284=0,E284,B284)</f>
        <v>MANUFACTURA AVANZADA</v>
      </c>
      <c r="D284" s="1" t="n">
        <f aca="false">LEN(C284)</f>
        <v>20</v>
      </c>
      <c r="E284" s="1"/>
      <c r="F284" s="1" t="n">
        <f aca="false">LEN(B284)</f>
        <v>20</v>
      </c>
      <c r="G284" s="1" t="n">
        <v>1</v>
      </c>
      <c r="H284" s="19" t="n">
        <v>3</v>
      </c>
    </row>
    <row r="285" customFormat="false" ht="15" hidden="false" customHeight="false" outlineLevel="0" collapsed="false">
      <c r="A285" s="18" t="s">
        <v>849</v>
      </c>
      <c r="B285" s="1" t="s">
        <v>850</v>
      </c>
      <c r="C285" s="1" t="str">
        <f aca="false">IF(G285=0,E285,B285)</f>
        <v>MARKETING DIGITAL I</v>
      </c>
      <c r="D285" s="1" t="n">
        <f aca="false">LEN(C285)</f>
        <v>19</v>
      </c>
      <c r="E285" s="1"/>
      <c r="F285" s="1" t="n">
        <f aca="false">LEN(B285)</f>
        <v>19</v>
      </c>
      <c r="G285" s="1" t="n">
        <v>1</v>
      </c>
      <c r="H285" s="19"/>
    </row>
    <row r="286" customFormat="false" ht="15" hidden="false" customHeight="false" outlineLevel="0" collapsed="false">
      <c r="A286" s="18" t="s">
        <v>851</v>
      </c>
      <c r="B286" s="1" t="s">
        <v>852</v>
      </c>
      <c r="C286" s="1" t="str">
        <f aca="false">IF(G286=0,E286,B286)</f>
        <v>MARKETING DIGITAL II</v>
      </c>
      <c r="D286" s="1" t="n">
        <f aca="false">LEN(C286)</f>
        <v>20</v>
      </c>
      <c r="E286" s="1"/>
      <c r="F286" s="1" t="n">
        <f aca="false">LEN(B286)</f>
        <v>20</v>
      </c>
      <c r="G286" s="1" t="n">
        <v>1</v>
      </c>
      <c r="H286" s="19"/>
    </row>
    <row r="287" customFormat="false" ht="15" hidden="false" customHeight="false" outlineLevel="0" collapsed="false">
      <c r="A287" s="13" t="s">
        <v>853</v>
      </c>
      <c r="B287" s="1" t="s">
        <v>567</v>
      </c>
      <c r="C287" s="1" t="str">
        <f aca="false">IF(G287=0,E287,B287)</f>
        <v>MATE DISC RAZO LÓGICO</v>
      </c>
      <c r="D287" s="1" t="n">
        <f aca="false">LEN(C287)</f>
        <v>21</v>
      </c>
      <c r="E287" s="1" t="s">
        <v>568</v>
      </c>
      <c r="F287" s="1" t="n">
        <f aca="false">LEN(B287)</f>
        <v>41</v>
      </c>
      <c r="G287" s="1" t="n">
        <v>0</v>
      </c>
      <c r="H287" s="14" t="n">
        <v>3</v>
      </c>
    </row>
    <row r="288" customFormat="false" ht="15" hidden="false" customHeight="false" outlineLevel="0" collapsed="false">
      <c r="A288" s="18" t="s">
        <v>854</v>
      </c>
      <c r="B288" s="1" t="s">
        <v>570</v>
      </c>
      <c r="C288" s="1" t="str">
        <f aca="false">IF(G288=0,E288,B288)</f>
        <v>MATE ENSE CIEN</v>
      </c>
      <c r="D288" s="1" t="n">
        <f aca="false">LEN(C288)</f>
        <v>14</v>
      </c>
      <c r="E288" s="1" t="s">
        <v>571</v>
      </c>
      <c r="F288" s="1" t="n">
        <f aca="false">LEN(B288)</f>
        <v>44</v>
      </c>
      <c r="G288" s="1" t="n">
        <v>0</v>
      </c>
      <c r="H288" s="19" t="n">
        <v>3</v>
      </c>
    </row>
    <row r="289" customFormat="false" ht="15" hidden="false" customHeight="false" outlineLevel="0" collapsed="false">
      <c r="A289" s="25" t="s">
        <v>855</v>
      </c>
      <c r="B289" s="1" t="s">
        <v>856</v>
      </c>
      <c r="C289" s="1" t="str">
        <f aca="false">IF(G289=0,E289,B289)</f>
        <v>MEDICINA LEGAL</v>
      </c>
      <c r="D289" s="1" t="n">
        <f aca="false">LEN(C289)</f>
        <v>14</v>
      </c>
      <c r="E289" s="1"/>
      <c r="F289" s="1" t="n">
        <f aca="false">LEN(B289)</f>
        <v>14</v>
      </c>
      <c r="G289" s="1" t="n">
        <v>1</v>
      </c>
      <c r="H289" s="32" t="n">
        <v>3</v>
      </c>
    </row>
    <row r="290" customFormat="false" ht="15" hidden="false" customHeight="false" outlineLevel="0" collapsed="false">
      <c r="A290" s="16" t="s">
        <v>857</v>
      </c>
      <c r="B290" s="1" t="s">
        <v>858</v>
      </c>
      <c r="C290" s="1" t="str">
        <f aca="false">IF(G290=0,E290,B290)</f>
        <v>MERCADEO DIGITAL</v>
      </c>
      <c r="D290" s="1" t="n">
        <f aca="false">LEN(C290)</f>
        <v>16</v>
      </c>
      <c r="E290" s="1"/>
      <c r="F290" s="1" t="n">
        <f aca="false">LEN(B290)</f>
        <v>16</v>
      </c>
      <c r="G290" s="1" t="n">
        <v>1</v>
      </c>
      <c r="H290" s="19"/>
    </row>
    <row r="291" customFormat="false" ht="15" hidden="false" customHeight="false" outlineLevel="0" collapsed="false">
      <c r="A291" s="16" t="s">
        <v>859</v>
      </c>
      <c r="B291" s="1" t="s">
        <v>860</v>
      </c>
      <c r="C291" s="1" t="str">
        <f aca="false">IF(G291=0,E291,B291)</f>
        <v>MERCADEO DIRECTO</v>
      </c>
      <c r="D291" s="1" t="n">
        <f aca="false">LEN(C291)</f>
        <v>16</v>
      </c>
      <c r="E291" s="1"/>
      <c r="F291" s="1" t="n">
        <f aca="false">LEN(B291)</f>
        <v>16</v>
      </c>
      <c r="G291" s="1" t="n">
        <v>1</v>
      </c>
      <c r="H291" s="17"/>
    </row>
    <row r="292" customFormat="false" ht="15" hidden="false" customHeight="false" outlineLevel="0" collapsed="false">
      <c r="A292" s="16" t="s">
        <v>861</v>
      </c>
      <c r="B292" s="1" t="s">
        <v>862</v>
      </c>
      <c r="C292" s="1" t="str">
        <f aca="false">IF(G292=0,E292,B292)</f>
        <v>MERCADEO GERENCIAL</v>
      </c>
      <c r="D292" s="1" t="n">
        <f aca="false">LEN(C292)</f>
        <v>18</v>
      </c>
      <c r="E292" s="1"/>
      <c r="F292" s="1" t="n">
        <f aca="false">LEN(B292)</f>
        <v>18</v>
      </c>
      <c r="G292" s="1" t="n">
        <v>1</v>
      </c>
      <c r="H292" s="17"/>
    </row>
    <row r="293" customFormat="false" ht="15" hidden="false" customHeight="false" outlineLevel="0" collapsed="false">
      <c r="A293" s="18" t="s">
        <v>863</v>
      </c>
      <c r="B293" s="1" t="s">
        <v>864</v>
      </c>
      <c r="C293" s="1" t="str">
        <f aca="false">IF(G293=0,E293,B293)</f>
        <v>MERCADEO INTERNACIONAL</v>
      </c>
      <c r="D293" s="1" t="n">
        <f aca="false">LEN(C293)</f>
        <v>22</v>
      </c>
      <c r="E293" s="1"/>
      <c r="F293" s="1" t="n">
        <f aca="false">LEN(B293)</f>
        <v>22</v>
      </c>
      <c r="G293" s="1" t="n">
        <v>1</v>
      </c>
      <c r="H293" s="19" t="n">
        <v>3</v>
      </c>
    </row>
    <row r="294" customFormat="false" ht="15" hidden="false" customHeight="false" outlineLevel="0" collapsed="false">
      <c r="A294" s="18" t="s">
        <v>865</v>
      </c>
      <c r="B294" s="1" t="s">
        <v>864</v>
      </c>
      <c r="C294" s="1" t="str">
        <f aca="false">IF(G294=0,E294,B294)</f>
        <v>MERCADEO INTERNACIONAL</v>
      </c>
      <c r="D294" s="1" t="n">
        <f aca="false">LEN(C294)</f>
        <v>22</v>
      </c>
      <c r="E294" s="1"/>
      <c r="F294" s="1" t="n">
        <f aca="false">LEN(B294)</f>
        <v>22</v>
      </c>
      <c r="G294" s="1" t="n">
        <v>1</v>
      </c>
      <c r="H294" s="19"/>
    </row>
    <row r="295" customFormat="false" ht="15" hidden="false" customHeight="false" outlineLevel="0" collapsed="false">
      <c r="A295" s="18" t="s">
        <v>866</v>
      </c>
      <c r="B295" s="1" t="s">
        <v>573</v>
      </c>
      <c r="C295" s="1" t="str">
        <f aca="false">IF(G295=0,E295,B295)</f>
        <v>METOD INVEST</v>
      </c>
      <c r="D295" s="1" t="n">
        <f aca="false">LEN(C295)</f>
        <v>12</v>
      </c>
      <c r="E295" s="1" t="s">
        <v>574</v>
      </c>
      <c r="F295" s="1" t="n">
        <f aca="false">LEN(B295)</f>
        <v>31</v>
      </c>
      <c r="G295" s="1" t="n">
        <v>0</v>
      </c>
      <c r="H295" s="19" t="n">
        <v>3</v>
      </c>
    </row>
    <row r="296" customFormat="false" ht="15" hidden="false" customHeight="false" outlineLevel="0" collapsed="false">
      <c r="A296" s="22" t="s">
        <v>867</v>
      </c>
      <c r="B296" s="1" t="s">
        <v>576</v>
      </c>
      <c r="C296" s="1" t="str">
        <f aca="false">IF(G296=0,E296,B296)</f>
        <v>METOD INVEST EDUC</v>
      </c>
      <c r="D296" s="1" t="n">
        <f aca="false">LEN(C296)</f>
        <v>17</v>
      </c>
      <c r="E296" s="1" t="s">
        <v>577</v>
      </c>
      <c r="F296" s="1" t="n">
        <f aca="false">LEN(B296)</f>
        <v>41</v>
      </c>
      <c r="G296" s="1" t="n">
        <v>0</v>
      </c>
      <c r="H296" s="14" t="n">
        <v>4</v>
      </c>
      <c r="I296" s="6"/>
    </row>
    <row r="297" customFormat="false" ht="15" hidden="false" customHeight="false" outlineLevel="0" collapsed="false">
      <c r="A297" s="16" t="s">
        <v>868</v>
      </c>
      <c r="B297" s="1" t="s">
        <v>580</v>
      </c>
      <c r="C297" s="1" t="str">
        <f aca="false">IF(G297=0,E297,B297)</f>
        <v>METOD INVEST EDUC I</v>
      </c>
      <c r="D297" s="1" t="n">
        <f aca="false">LEN(C297)</f>
        <v>19</v>
      </c>
      <c r="E297" s="1" t="s">
        <v>581</v>
      </c>
      <c r="F297" s="1" t="n">
        <f aca="false">LEN(B297)</f>
        <v>43</v>
      </c>
      <c r="G297" s="1" t="n">
        <v>0</v>
      </c>
    </row>
    <row r="298" customFormat="false" ht="15" hidden="false" customHeight="false" outlineLevel="0" collapsed="false">
      <c r="A298" s="18" t="s">
        <v>869</v>
      </c>
      <c r="B298" s="1" t="s">
        <v>583</v>
      </c>
      <c r="C298" s="1" t="str">
        <f aca="false">IF(G298=0,E298,B298)</f>
        <v>METOD INVEST EDUC II</v>
      </c>
      <c r="D298" s="1" t="n">
        <f aca="false">LEN(C298)</f>
        <v>20</v>
      </c>
      <c r="E298" s="1" t="s">
        <v>584</v>
      </c>
      <c r="F298" s="1" t="n">
        <f aca="false">LEN(B298)</f>
        <v>44</v>
      </c>
      <c r="G298" s="1" t="n">
        <v>0</v>
      </c>
    </row>
    <row r="299" customFormat="false" ht="15" hidden="false" customHeight="false" outlineLevel="0" collapsed="false">
      <c r="A299" s="18" t="s">
        <v>870</v>
      </c>
      <c r="B299" s="1" t="s">
        <v>587</v>
      </c>
      <c r="C299" s="1" t="str">
        <f aca="false">IF(G299=0,E299,B299)</f>
        <v>METOD INVEST ENSE CIEN</v>
      </c>
      <c r="D299" s="1" t="n">
        <f aca="false">LEN(C299)</f>
        <v>22</v>
      </c>
      <c r="E299" s="1" t="s">
        <v>588</v>
      </c>
      <c r="F299" s="1" t="n">
        <f aca="false">LEN(B299)</f>
        <v>63</v>
      </c>
      <c r="G299" s="1" t="n">
        <v>0</v>
      </c>
      <c r="H299" s="0" t="n">
        <v>4</v>
      </c>
    </row>
    <row r="300" customFormat="false" ht="15" hidden="false" customHeight="false" outlineLevel="0" collapsed="false">
      <c r="A300" s="18" t="s">
        <v>871</v>
      </c>
      <c r="B300" s="1" t="s">
        <v>872</v>
      </c>
      <c r="C300" s="1" t="str">
        <f aca="false">IF(G300=0,E300,B300)</f>
        <v>MÉTODOS DE INVESTIGACIÓN</v>
      </c>
      <c r="D300" s="1" t="n">
        <f aca="false">LEN(C300)</f>
        <v>24</v>
      </c>
      <c r="E300" s="1"/>
      <c r="F300" s="1" t="n">
        <f aca="false">LEN(B300)</f>
        <v>24</v>
      </c>
      <c r="G300" s="1" t="n">
        <v>1</v>
      </c>
      <c r="H300" s="19"/>
    </row>
    <row r="301" customFormat="false" ht="15" hidden="false" customHeight="false" outlineLevel="0" collapsed="false">
      <c r="A301" s="36" t="s">
        <v>873</v>
      </c>
      <c r="B301" s="1" t="s">
        <v>591</v>
      </c>
      <c r="C301" s="1" t="str">
        <f aca="false">IF(G301=0,E301,B301)</f>
        <v>MÉTO INVEST RAZO CIEN JURÍ</v>
      </c>
      <c r="D301" s="1" t="n">
        <f aca="false">LEN(C301)</f>
        <v>26</v>
      </c>
      <c r="E301" s="1" t="s">
        <v>592</v>
      </c>
      <c r="F301" s="1" t="n">
        <f aca="false">LEN(B301)</f>
        <v>61</v>
      </c>
      <c r="G301" s="1" t="n">
        <v>0</v>
      </c>
      <c r="H301" s="37" t="n">
        <v>3</v>
      </c>
    </row>
    <row r="302" customFormat="false" ht="15" hidden="false" customHeight="false" outlineLevel="0" collapsed="false">
      <c r="A302" s="18" t="s">
        <v>874</v>
      </c>
      <c r="B302" s="1" t="s">
        <v>594</v>
      </c>
      <c r="C302" s="1" t="str">
        <f aca="false">IF(G302=0,E302,B302)</f>
        <v>MÉTO REPR GRÁF</v>
      </c>
      <c r="D302" s="1" t="n">
        <f aca="false">LEN(C302)</f>
        <v>14</v>
      </c>
      <c r="E302" s="1" t="s">
        <v>595</v>
      </c>
      <c r="F302" s="1" t="n">
        <f aca="false">LEN(B302)</f>
        <v>31</v>
      </c>
      <c r="G302" s="1" t="n">
        <v>0</v>
      </c>
      <c r="H302" s="19"/>
    </row>
    <row r="303" customFormat="false" ht="15" hidden="false" customHeight="false" outlineLevel="0" collapsed="false">
      <c r="A303" s="38" t="s">
        <v>875</v>
      </c>
      <c r="B303" s="1" t="s">
        <v>876</v>
      </c>
      <c r="C303" s="1" t="str">
        <f aca="false">IF(G303=0,E303,B303)</f>
        <v>MÉTODOS DE TRABAJO</v>
      </c>
      <c r="D303" s="1" t="n">
        <f aca="false">LEN(C303)</f>
        <v>18</v>
      </c>
      <c r="E303" s="1"/>
      <c r="F303" s="1" t="n">
        <f aca="false">LEN(B303)</f>
        <v>18</v>
      </c>
      <c r="G303" s="1" t="n">
        <v>1</v>
      </c>
      <c r="H303" s="17"/>
    </row>
    <row r="304" customFormat="false" ht="15" hidden="false" customHeight="false" outlineLevel="0" collapsed="false">
      <c r="A304" s="23" t="s">
        <v>877</v>
      </c>
      <c r="B304" s="1" t="s">
        <v>878</v>
      </c>
      <c r="C304" s="1" t="str">
        <f aca="false">IF(G304=0,E304,B304)</f>
        <v>MÉTODOS DE TRABAJO</v>
      </c>
      <c r="D304" s="1" t="n">
        <f aca="false">LEN(C304)</f>
        <v>19</v>
      </c>
      <c r="E304" s="1"/>
      <c r="F304" s="1" t="n">
        <f aca="false">LEN(B304)</f>
        <v>19</v>
      </c>
      <c r="G304" s="1" t="n">
        <v>1</v>
      </c>
      <c r="H304" s="17"/>
    </row>
    <row r="305" customFormat="false" ht="15" hidden="false" customHeight="false" outlineLevel="0" collapsed="false">
      <c r="A305" s="27" t="s">
        <v>879</v>
      </c>
      <c r="B305" s="1" t="s">
        <v>597</v>
      </c>
      <c r="C305" s="1" t="str">
        <f aca="false">IF(G305=0,E305,B305)</f>
        <v>MÉTO INTE COMU MODE</v>
      </c>
      <c r="D305" s="1" t="n">
        <f aca="false">LEN(C305)</f>
        <v>19</v>
      </c>
      <c r="E305" s="1" t="s">
        <v>598</v>
      </c>
      <c r="F305" s="1" t="n">
        <f aca="false">LEN(B305)</f>
        <v>42</v>
      </c>
      <c r="G305" s="1" t="n">
        <v>0</v>
      </c>
    </row>
    <row r="306" customFormat="false" ht="15" hidden="false" customHeight="false" outlineLevel="0" collapsed="false">
      <c r="A306" s="13" t="s">
        <v>880</v>
      </c>
      <c r="B306" s="1" t="s">
        <v>601</v>
      </c>
      <c r="C306" s="1" t="str">
        <f aca="false">IF(G306=0,E306,B306)</f>
        <v>MÉTO NUMÉ TECN MATE</v>
      </c>
      <c r="D306" s="1" t="n">
        <f aca="false">LEN(C306)</f>
        <v>19</v>
      </c>
      <c r="E306" s="1" t="s">
        <v>602</v>
      </c>
      <c r="F306" s="1" t="n">
        <f aca="false">LEN(B306)</f>
        <v>41</v>
      </c>
      <c r="G306" s="1" t="n">
        <v>0</v>
      </c>
      <c r="H306" s="6" t="n">
        <v>3</v>
      </c>
    </row>
    <row r="307" customFormat="false" ht="15" hidden="false" customHeight="false" outlineLevel="0" collapsed="false">
      <c r="A307" s="13" t="s">
        <v>881</v>
      </c>
      <c r="B307" s="1" t="s">
        <v>604</v>
      </c>
      <c r="C307" s="1" t="str">
        <f aca="false">IF(G307=0,E307,B307)</f>
        <v>MODE MATE ENSE STEM</v>
      </c>
      <c r="D307" s="1" t="n">
        <f aca="false">LEN(C307)</f>
        <v>19</v>
      </c>
      <c r="E307" s="1" t="s">
        <v>605</v>
      </c>
      <c r="F307" s="1" t="n">
        <f aca="false">LEN(B307)</f>
        <v>40</v>
      </c>
      <c r="G307" s="1" t="n">
        <v>0</v>
      </c>
    </row>
    <row r="308" customFormat="false" ht="15" hidden="false" customHeight="false" outlineLevel="0" collapsed="false">
      <c r="A308" s="18" t="s">
        <v>882</v>
      </c>
      <c r="B308" s="1" t="s">
        <v>607</v>
      </c>
      <c r="C308" s="1" t="str">
        <f aca="false">IF(G308=0,E308,B308)</f>
        <v>MODE ESTR ENSE INCL</v>
      </c>
      <c r="D308" s="1" t="n">
        <f aca="false">LEN(C308)</f>
        <v>19</v>
      </c>
      <c r="E308" s="1" t="s">
        <v>608</v>
      </c>
      <c r="F308" s="1" t="n">
        <f aca="false">LEN(B308)</f>
        <v>44</v>
      </c>
      <c r="G308" s="1" t="n">
        <v>0</v>
      </c>
      <c r="H308" s="0" t="n">
        <v>3</v>
      </c>
    </row>
    <row r="309" customFormat="false" ht="15" hidden="false" customHeight="false" outlineLevel="0" collapsed="false">
      <c r="A309" s="0" t="s">
        <v>883</v>
      </c>
      <c r="B309" s="1" t="s">
        <v>610</v>
      </c>
      <c r="C309" s="1" t="str">
        <f aca="false">IF(G309=0,E309,B309)</f>
        <v>MODE ESTR INNO EDUC</v>
      </c>
      <c r="D309" s="1" t="n">
        <f aca="false">LEN(C309)</f>
        <v>19</v>
      </c>
      <c r="E309" s="1" t="s">
        <v>611</v>
      </c>
      <c r="F309" s="1" t="n">
        <f aca="false">LEN(B309)</f>
        <v>45</v>
      </c>
      <c r="G309" s="1" t="n">
        <v>0</v>
      </c>
    </row>
    <row r="310" customFormat="false" ht="15" hidden="false" customHeight="false" outlineLevel="0" collapsed="false">
      <c r="A310" s="34" t="s">
        <v>884</v>
      </c>
      <c r="B310" s="1" t="s">
        <v>614</v>
      </c>
      <c r="C310" s="1" t="str">
        <f aca="false">IF(G310=0,E310,B310)</f>
        <v>MORF LENGUA ESPA I</v>
      </c>
      <c r="D310" s="1" t="n">
        <f aca="false">LEN(C310)</f>
        <v>18</v>
      </c>
      <c r="E310" s="1" t="s">
        <v>615</v>
      </c>
      <c r="F310" s="1" t="n">
        <f aca="false">LEN(B310)</f>
        <v>37</v>
      </c>
      <c r="G310" s="1" t="n">
        <v>0</v>
      </c>
      <c r="H310" s="28" t="n">
        <v>3</v>
      </c>
      <c r="I310" s="6"/>
    </row>
    <row r="311" customFormat="false" ht="15" hidden="false" customHeight="false" outlineLevel="0" collapsed="false">
      <c r="A311" s="27" t="s">
        <v>885</v>
      </c>
      <c r="B311" s="1" t="s">
        <v>617</v>
      </c>
      <c r="C311" s="1" t="str">
        <f aca="false">IF(G311=0,E311,B311)</f>
        <v>MORF LENGUA ESPA II</v>
      </c>
      <c r="D311" s="1" t="n">
        <f aca="false">LEN(C311)</f>
        <v>19</v>
      </c>
      <c r="E311" s="1" t="s">
        <v>618</v>
      </c>
      <c r="F311" s="1" t="n">
        <f aca="false">LEN(B311)</f>
        <v>38</v>
      </c>
      <c r="G311" s="1" t="n">
        <v>0</v>
      </c>
      <c r="H311" s="28" t="n">
        <v>3</v>
      </c>
      <c r="I311" s="6"/>
    </row>
    <row r="312" customFormat="false" ht="15" hidden="false" customHeight="false" outlineLevel="0" collapsed="false">
      <c r="A312" s="24" t="s">
        <v>886</v>
      </c>
      <c r="B312" s="1" t="s">
        <v>620</v>
      </c>
      <c r="C312" s="1" t="str">
        <f aca="false">IF(G312=0,E312,B312)</f>
        <v>MOVI DESA PSIC</v>
      </c>
      <c r="D312" s="1" t="n">
        <f aca="false">LEN(C312)</f>
        <v>14</v>
      </c>
      <c r="E312" s="1" t="s">
        <v>621</v>
      </c>
      <c r="F312" s="1" t="n">
        <f aca="false">LEN(B312)</f>
        <v>34</v>
      </c>
      <c r="G312" s="1" t="n">
        <v>0</v>
      </c>
      <c r="H312" s="28" t="n">
        <v>3</v>
      </c>
    </row>
    <row r="313" customFormat="false" ht="15" hidden="false" customHeight="false" outlineLevel="0" collapsed="false">
      <c r="A313" s="16" t="s">
        <v>887</v>
      </c>
      <c r="B313" s="1" t="s">
        <v>888</v>
      </c>
      <c r="C313" s="1" t="str">
        <f aca="false">IF(G313=0,E313,B313)</f>
        <v>NEUROCIENCIA COGNITIVA</v>
      </c>
      <c r="D313" s="1" t="n">
        <f aca="false">LEN(C313)</f>
        <v>22</v>
      </c>
      <c r="E313" s="1"/>
      <c r="F313" s="1" t="n">
        <f aca="false">LEN(B313)</f>
        <v>22</v>
      </c>
      <c r="G313" s="1" t="n">
        <v>1</v>
      </c>
      <c r="H313" s="16" t="n">
        <v>3</v>
      </c>
    </row>
    <row r="314" customFormat="false" ht="15" hidden="false" customHeight="false" outlineLevel="0" collapsed="false">
      <c r="A314" s="24" t="s">
        <v>889</v>
      </c>
      <c r="B314" s="1" t="s">
        <v>623</v>
      </c>
      <c r="C314" s="1" t="str">
        <f aca="false">IF(G314=0,E314,B314)</f>
        <v>NEUR APRE I II CICLOS</v>
      </c>
      <c r="D314" s="1" t="n">
        <f aca="false">LEN(C314)</f>
        <v>21</v>
      </c>
      <c r="E314" s="1" t="s">
        <v>624</v>
      </c>
      <c r="F314" s="1" t="n">
        <f aca="false">LEN(B314)</f>
        <v>45</v>
      </c>
      <c r="G314" s="1" t="n">
        <v>0</v>
      </c>
      <c r="H314" s="16"/>
    </row>
    <row r="315" customFormat="false" ht="15" hidden="false" customHeight="false" outlineLevel="0" collapsed="false">
      <c r="A315" s="16" t="s">
        <v>890</v>
      </c>
      <c r="B315" s="1" t="s">
        <v>891</v>
      </c>
      <c r="C315" s="1" t="str">
        <f aca="false">IF(G315=0,E315,B315)</f>
        <v>PARAD MODER EN EDUCACIÓN</v>
      </c>
      <c r="D315" s="1" t="n">
        <f aca="false">LEN(C315)</f>
        <v>25</v>
      </c>
      <c r="E315" s="1" t="s">
        <v>892</v>
      </c>
      <c r="F315" s="1" t="n">
        <f aca="false">LEN(B315)</f>
        <v>33</v>
      </c>
      <c r="G315" s="1" t="n">
        <v>0</v>
      </c>
      <c r="H315" s="16"/>
    </row>
    <row r="316" customFormat="false" ht="15" hidden="false" customHeight="false" outlineLevel="0" collapsed="false">
      <c r="A316" s="24" t="s">
        <v>893</v>
      </c>
      <c r="B316" s="1" t="s">
        <v>630</v>
      </c>
      <c r="C316" s="1" t="str">
        <f aca="false">IF(G316=0,E316,B316)</f>
        <v>PATR CULT MUSE EDUC HIST</v>
      </c>
      <c r="D316" s="1" t="n">
        <f aca="false">LEN(C316)</f>
        <v>24</v>
      </c>
      <c r="E316" s="1" t="s">
        <v>631</v>
      </c>
      <c r="F316" s="1" t="n">
        <f aca="false">LEN(B316)</f>
        <v>53</v>
      </c>
      <c r="G316" s="1" t="n">
        <v>0</v>
      </c>
      <c r="H316" s="16"/>
    </row>
    <row r="317" customFormat="false" ht="15" hidden="false" customHeight="false" outlineLevel="0" collapsed="false">
      <c r="A317" s="16" t="s">
        <v>894</v>
      </c>
      <c r="B317" s="1" t="s">
        <v>633</v>
      </c>
      <c r="C317" s="1" t="str">
        <f aca="false">IF(G317=0,E317,B317)</f>
        <v>PEDA ENFO MÉTO ESTR</v>
      </c>
      <c r="D317" s="1" t="n">
        <f aca="false">LEN(C317)</f>
        <v>19</v>
      </c>
      <c r="E317" s="1" t="s">
        <v>634</v>
      </c>
      <c r="F317" s="1" t="n">
        <f aca="false">LEN(B317)</f>
        <v>42</v>
      </c>
      <c r="G317" s="1" t="n">
        <v>0</v>
      </c>
      <c r="H317" s="16"/>
    </row>
    <row r="318" customFormat="false" ht="15" hidden="false" customHeight="false" outlineLevel="0" collapsed="false">
      <c r="A318" s="24" t="s">
        <v>895</v>
      </c>
      <c r="B318" s="1" t="s">
        <v>636</v>
      </c>
      <c r="C318" s="1" t="str">
        <f aca="false">IF(G318=0,E318,B318)</f>
        <v>PENS ECON TRAN SOCI</v>
      </c>
      <c r="D318" s="1" t="n">
        <f aca="false">LEN(C318)</f>
        <v>19</v>
      </c>
      <c r="E318" s="1" t="s">
        <v>637</v>
      </c>
      <c r="F318" s="1" t="n">
        <f aca="false">LEN(B318)</f>
        <v>49</v>
      </c>
      <c r="G318" s="1" t="n">
        <v>0</v>
      </c>
      <c r="H318" s="28" t="n">
        <v>3</v>
      </c>
    </row>
    <row r="319" customFormat="false" ht="15" hidden="false" customHeight="false" outlineLevel="0" collapsed="false">
      <c r="A319" s="24" t="s">
        <v>896</v>
      </c>
      <c r="B319" s="1" t="s">
        <v>639</v>
      </c>
      <c r="C319" s="1" t="str">
        <f aca="false">IF(G319=0,E319,B319)</f>
        <v>PENS MATE RESO PROB I II CI</v>
      </c>
      <c r="D319" s="1" t="n">
        <f aca="false">LEN(C319)</f>
        <v>27</v>
      </c>
      <c r="E319" s="1" t="s">
        <v>640</v>
      </c>
      <c r="F319" s="1" t="n">
        <f aca="false">LEN(B319)</f>
        <v>65</v>
      </c>
      <c r="G319" s="1" t="n">
        <v>0</v>
      </c>
      <c r="H319" s="28" t="n">
        <v>4</v>
      </c>
    </row>
    <row r="320" customFormat="false" ht="15" hidden="false" customHeight="false" outlineLevel="0" collapsed="false">
      <c r="A320" s="27" t="s">
        <v>897</v>
      </c>
      <c r="B320" s="1" t="s">
        <v>642</v>
      </c>
      <c r="C320" s="1" t="str">
        <f aca="false">IF(G320=0,E320,B320)</f>
        <v>PERS CRÍT TEORÍA LITE</v>
      </c>
      <c r="D320" s="1" t="n">
        <f aca="false">LEN(C320)</f>
        <v>21</v>
      </c>
      <c r="E320" s="1" t="s">
        <v>643</v>
      </c>
      <c r="F320" s="1" t="n">
        <f aca="false">LEN(B320)</f>
        <v>44</v>
      </c>
      <c r="G320" s="1" t="n">
        <v>0</v>
      </c>
      <c r="H320" s="28" t="n">
        <v>3</v>
      </c>
      <c r="I320" s="6"/>
    </row>
    <row r="321" customFormat="false" ht="15" hidden="false" customHeight="false" outlineLevel="0" collapsed="false">
      <c r="A321" s="27" t="s">
        <v>898</v>
      </c>
      <c r="B321" s="1" t="s">
        <v>645</v>
      </c>
      <c r="C321" s="1" t="str">
        <f aca="false">IF(G321=0,E321,B321)</f>
        <v>PERS CRÍT ANÁL TEXTOS</v>
      </c>
      <c r="D321" s="1" t="n">
        <f aca="false">LEN(C321)</f>
        <v>21</v>
      </c>
      <c r="E321" s="1" t="s">
        <v>646</v>
      </c>
      <c r="F321" s="1" t="n">
        <f aca="false">LEN(B321)</f>
        <v>46</v>
      </c>
      <c r="G321" s="1" t="n">
        <v>0</v>
      </c>
      <c r="H321" s="28" t="n">
        <v>3</v>
      </c>
      <c r="I321" s="6"/>
    </row>
    <row r="322" customFormat="false" ht="15" hidden="false" customHeight="false" outlineLevel="0" collapsed="false">
      <c r="A322" s="16" t="s">
        <v>899</v>
      </c>
      <c r="B322" s="1" t="s">
        <v>648</v>
      </c>
      <c r="C322" s="1" t="str">
        <f aca="false">IF(G322=0,E322,B322)</f>
        <v>PLAN DISEÑO AMBI APRE</v>
      </c>
      <c r="D322" s="1" t="n">
        <f aca="false">LEN(C322)</f>
        <v>21</v>
      </c>
      <c r="E322" s="1" t="s">
        <v>649</v>
      </c>
      <c r="F322" s="1" t="n">
        <f aca="false">LEN(B322)</f>
        <v>49</v>
      </c>
      <c r="G322" s="1" t="n">
        <v>0</v>
      </c>
      <c r="H322" s="16"/>
    </row>
    <row r="323" customFormat="false" ht="15" hidden="false" customHeight="false" outlineLevel="0" collapsed="false">
      <c r="A323" s="16" t="s">
        <v>900</v>
      </c>
      <c r="B323" s="1" t="s">
        <v>651</v>
      </c>
      <c r="C323" s="1" t="str">
        <f aca="false">IF(G323=0,E323,B323)</f>
        <v>PLAN RESU</v>
      </c>
      <c r="D323" s="1" t="n">
        <f aca="false">LEN(C323)</f>
        <v>9</v>
      </c>
      <c r="E323" s="1" t="s">
        <v>652</v>
      </c>
      <c r="F323" s="1" t="n">
        <f aca="false">LEN(B323)</f>
        <v>28</v>
      </c>
      <c r="G323" s="1" t="n">
        <v>0</v>
      </c>
      <c r="H323" s="16"/>
    </row>
    <row r="324" customFormat="false" ht="15" hidden="false" customHeight="false" outlineLevel="0" collapsed="false">
      <c r="A324" s="16" t="s">
        <v>901</v>
      </c>
      <c r="B324" s="1" t="s">
        <v>654</v>
      </c>
      <c r="C324" s="1" t="str">
        <f aca="false">IF(G324=0,E324,B324)</f>
        <v>PLAN PRES EDUC</v>
      </c>
      <c r="D324" s="1" t="n">
        <f aca="false">LEN(C324)</f>
        <v>14</v>
      </c>
      <c r="E324" s="1" t="s">
        <v>655</v>
      </c>
      <c r="F324" s="1" t="n">
        <f aca="false">LEN(B324)</f>
        <v>39</v>
      </c>
      <c r="G324" s="1" t="n">
        <v>0</v>
      </c>
      <c r="H324" s="16"/>
    </row>
    <row r="325" customFormat="false" ht="15" hidden="false" customHeight="false" outlineLevel="0" collapsed="false">
      <c r="A325" s="16" t="s">
        <v>902</v>
      </c>
      <c r="B325" s="1" t="s">
        <v>657</v>
      </c>
      <c r="C325" s="1" t="str">
        <f aca="false">IF(G325=0,E325,B325)</f>
        <v>PLAT APRE DIGI</v>
      </c>
      <c r="D325" s="1" t="n">
        <f aca="false">LEN(C325)</f>
        <v>14</v>
      </c>
      <c r="E325" s="1" t="s">
        <v>658</v>
      </c>
      <c r="F325" s="1" t="n">
        <f aca="false">LEN(B325)</f>
        <v>34</v>
      </c>
      <c r="G325" s="1" t="n">
        <v>0</v>
      </c>
      <c r="H325" s="16"/>
    </row>
    <row r="326" customFormat="false" ht="15" hidden="false" customHeight="false" outlineLevel="0" collapsed="false">
      <c r="A326" s="16" t="s">
        <v>903</v>
      </c>
      <c r="B326" s="1" t="s">
        <v>904</v>
      </c>
      <c r="C326" s="1" t="str">
        <f aca="false">IF(G326=0,E326,B326)</f>
        <v>PLATA Y HERRA DIGITALES</v>
      </c>
      <c r="D326" s="1" t="n">
        <f aca="false">LEN(C326)</f>
        <v>24</v>
      </c>
      <c r="E326" s="1" t="s">
        <v>905</v>
      </c>
      <c r="F326" s="1" t="n">
        <f aca="false">LEN(B326)</f>
        <v>37</v>
      </c>
      <c r="G326" s="1" t="n">
        <v>0</v>
      </c>
      <c r="H326" s="16"/>
    </row>
    <row r="327" customFormat="false" ht="15" hidden="false" customHeight="false" outlineLevel="0" collapsed="false">
      <c r="A327" s="16" t="s">
        <v>906</v>
      </c>
      <c r="B327" s="1" t="s">
        <v>663</v>
      </c>
      <c r="C327" s="1" t="str">
        <f aca="false">IF(G327=0,E327,B327)</f>
        <v>PRÁC INTE DISEÑO</v>
      </c>
      <c r="D327" s="1" t="n">
        <f aca="false">LEN(C327)</f>
        <v>16</v>
      </c>
      <c r="E327" s="1" t="s">
        <v>664</v>
      </c>
      <c r="F327" s="1" t="n">
        <f aca="false">LEN(B327)</f>
        <v>28</v>
      </c>
      <c r="G327" s="1" t="n">
        <v>0</v>
      </c>
      <c r="H327" s="16"/>
    </row>
    <row r="328" customFormat="false" ht="15" hidden="false" customHeight="false" outlineLevel="0" collapsed="false">
      <c r="A328" s="16" t="s">
        <v>907</v>
      </c>
      <c r="B328" s="1" t="s">
        <v>667</v>
      </c>
      <c r="C328" s="1" t="str">
        <f aca="false">IF(G328=0,E328,B328)</f>
        <v>PRÁC INTE PUBL</v>
      </c>
      <c r="D328" s="1" t="n">
        <f aca="false">LEN(C328)</f>
        <v>14</v>
      </c>
      <c r="E328" s="1" t="s">
        <v>668</v>
      </c>
      <c r="F328" s="1" t="n">
        <f aca="false">LEN(B328)</f>
        <v>32</v>
      </c>
      <c r="G328" s="1" t="n">
        <v>0</v>
      </c>
      <c r="H328" s="16"/>
    </row>
    <row r="329" customFormat="false" ht="15" hidden="false" customHeight="false" outlineLevel="0" collapsed="false">
      <c r="A329" s="16" t="s">
        <v>908</v>
      </c>
      <c r="B329" s="1" t="s">
        <v>909</v>
      </c>
      <c r="C329" s="1" t="str">
        <f aca="false">IF(G329=0,E329,B329)</f>
        <v>PRÁCTICA SUPERVISADA</v>
      </c>
      <c r="D329" s="1" t="n">
        <f aca="false">LEN(C329)</f>
        <v>20</v>
      </c>
      <c r="E329" s="1"/>
      <c r="F329" s="1" t="n">
        <f aca="false">LEN(B329)</f>
        <v>20</v>
      </c>
      <c r="G329" s="1" t="n">
        <v>1</v>
      </c>
      <c r="H329" s="16" t="n">
        <v>6</v>
      </c>
    </row>
    <row r="330" customFormat="false" ht="15" hidden="false" customHeight="false" outlineLevel="0" collapsed="false">
      <c r="A330" s="27" t="s">
        <v>910</v>
      </c>
      <c r="B330" s="1" t="s">
        <v>909</v>
      </c>
      <c r="C330" s="1" t="str">
        <f aca="false">IF(G330=0,E330,B330)</f>
        <v>PRÁCTICA SUPERVISADA</v>
      </c>
      <c r="D330" s="1" t="n">
        <f aca="false">LEN(C330)</f>
        <v>20</v>
      </c>
      <c r="E330" s="1"/>
      <c r="F330" s="1" t="n">
        <f aca="false">LEN(B330)</f>
        <v>20</v>
      </c>
      <c r="G330" s="1" t="n">
        <v>1</v>
      </c>
      <c r="H330" s="28" t="n">
        <v>6</v>
      </c>
      <c r="I330" s="6"/>
    </row>
    <row r="331" customFormat="false" ht="15" hidden="false" customHeight="false" outlineLevel="0" collapsed="false">
      <c r="A331" s="24" t="s">
        <v>911</v>
      </c>
      <c r="B331" s="1" t="s">
        <v>909</v>
      </c>
      <c r="C331" s="1" t="str">
        <f aca="false">IF(G331=0,E331,B331)</f>
        <v>PRÁCTICA SUPERVISADA</v>
      </c>
      <c r="D331" s="1" t="n">
        <f aca="false">LEN(C331)</f>
        <v>20</v>
      </c>
      <c r="E331" s="1"/>
      <c r="F331" s="1" t="n">
        <f aca="false">LEN(B331)</f>
        <v>20</v>
      </c>
      <c r="G331" s="1" t="n">
        <v>1</v>
      </c>
      <c r="H331" s="28" t="n">
        <v>6</v>
      </c>
      <c r="I331" s="6"/>
    </row>
    <row r="332" customFormat="false" ht="15" hidden="false" customHeight="false" outlineLevel="0" collapsed="false">
      <c r="A332" s="24" t="s">
        <v>912</v>
      </c>
      <c r="B332" s="1" t="s">
        <v>909</v>
      </c>
      <c r="C332" s="1" t="str">
        <f aca="false">IF(G332=0,E332,B332)</f>
        <v>PRÁCTICA SUPERVISADA</v>
      </c>
      <c r="D332" s="1" t="n">
        <f aca="false">LEN(C332)</f>
        <v>20</v>
      </c>
      <c r="E332" s="1"/>
      <c r="F332" s="1" t="n">
        <f aca="false">LEN(B332)</f>
        <v>20</v>
      </c>
      <c r="G332" s="1" t="n">
        <v>1</v>
      </c>
      <c r="H332" s="28" t="n">
        <v>6</v>
      </c>
    </row>
    <row r="333" customFormat="false" ht="15" hidden="false" customHeight="false" outlineLevel="0" collapsed="false">
      <c r="A333" s="27" t="s">
        <v>913</v>
      </c>
      <c r="B333" s="1" t="s">
        <v>909</v>
      </c>
      <c r="C333" s="1" t="str">
        <f aca="false">IF(G333=0,E333,B333)</f>
        <v>PRÁCTICA SUPERVISADA</v>
      </c>
      <c r="D333" s="1" t="n">
        <f aca="false">LEN(C333)</f>
        <v>20</v>
      </c>
      <c r="E333" s="1"/>
      <c r="F333" s="1" t="n">
        <f aca="false">LEN(B333)</f>
        <v>20</v>
      </c>
      <c r="G333" s="1" t="n">
        <v>1</v>
      </c>
      <c r="H333" s="28" t="n">
        <v>6</v>
      </c>
    </row>
    <row r="334" customFormat="false" ht="15" hidden="false" customHeight="false" outlineLevel="0" collapsed="false">
      <c r="A334" s="16" t="s">
        <v>914</v>
      </c>
      <c r="B334" s="1" t="s">
        <v>670</v>
      </c>
      <c r="C334" s="1" t="str">
        <f aca="false">IF(G334=0,E334,B334)</f>
        <v>PRES PROY PUBL</v>
      </c>
      <c r="D334" s="1" t="n">
        <f aca="false">LEN(C334)</f>
        <v>14</v>
      </c>
      <c r="E334" s="1" t="s">
        <v>671</v>
      </c>
      <c r="F334" s="1" t="n">
        <f aca="false">LEN(B334)</f>
        <v>36</v>
      </c>
      <c r="G334" s="1" t="n">
        <v>0</v>
      </c>
      <c r="H334" s="16"/>
    </row>
    <row r="335" customFormat="false" ht="15" hidden="false" customHeight="false" outlineLevel="0" collapsed="false">
      <c r="A335" s="36" t="s">
        <v>915</v>
      </c>
      <c r="B335" s="1" t="s">
        <v>673</v>
      </c>
      <c r="C335" s="1" t="str">
        <f aca="false">IF(G335=0,E335,B335)</f>
        <v>PROC RESO ALTE CONF NEGO</v>
      </c>
      <c r="D335" s="1" t="n">
        <f aca="false">LEN(C335)</f>
        <v>24</v>
      </c>
      <c r="E335" s="1" t="s">
        <v>674</v>
      </c>
      <c r="F335" s="1" t="n">
        <f aca="false">LEN(B335)</f>
        <v>62</v>
      </c>
      <c r="G335" s="1" t="n">
        <v>0</v>
      </c>
      <c r="H335" s="39" t="n">
        <v>3</v>
      </c>
    </row>
    <row r="336" customFormat="false" ht="15" hidden="false" customHeight="false" outlineLevel="0" collapsed="false">
      <c r="A336" s="36" t="s">
        <v>916</v>
      </c>
      <c r="B336" s="1" t="s">
        <v>917</v>
      </c>
      <c r="C336" s="1" t="str">
        <f aca="false">IF(G336=0,E336,B336)</f>
        <v>PROPIEDAD INTELECTUAL</v>
      </c>
      <c r="D336" s="1" t="n">
        <f aca="false">LEN(C336)</f>
        <v>21</v>
      </c>
      <c r="E336" s="1"/>
      <c r="F336" s="1" t="n">
        <f aca="false">LEN(B336)</f>
        <v>21</v>
      </c>
      <c r="G336" s="1" t="n">
        <v>1</v>
      </c>
      <c r="H336" s="39" t="n">
        <v>3</v>
      </c>
    </row>
    <row r="337" customFormat="false" ht="15" hidden="false" customHeight="false" outlineLevel="0" collapsed="false">
      <c r="A337" s="16" t="s">
        <v>918</v>
      </c>
      <c r="B337" s="1" t="s">
        <v>919</v>
      </c>
      <c r="C337" s="1" t="str">
        <f aca="false">IF(G337=0,E337,B337)</f>
        <v>PRUEBA DE GRADO</v>
      </c>
      <c r="D337" s="1" t="n">
        <f aca="false">LEN(C337)</f>
        <v>15</v>
      </c>
      <c r="E337" s="1"/>
      <c r="F337" s="1" t="n">
        <f aca="false">LEN(B337)</f>
        <v>15</v>
      </c>
      <c r="G337" s="1" t="n">
        <v>1</v>
      </c>
      <c r="H337" s="16"/>
    </row>
    <row r="338" customFormat="false" ht="15" hidden="false" customHeight="false" outlineLevel="0" collapsed="false">
      <c r="A338" s="16" t="s">
        <v>920</v>
      </c>
      <c r="B338" s="1" t="s">
        <v>919</v>
      </c>
      <c r="C338" s="1" t="str">
        <f aca="false">IF(G338=0,E338,B338)</f>
        <v>PRUEBA DE GRADO</v>
      </c>
      <c r="D338" s="1" t="n">
        <f aca="false">LEN(C338)</f>
        <v>15</v>
      </c>
      <c r="E338" s="1"/>
      <c r="F338" s="1" t="n">
        <f aca="false">LEN(B338)</f>
        <v>15</v>
      </c>
      <c r="G338" s="1" t="n">
        <v>1</v>
      </c>
      <c r="H338" s="16"/>
    </row>
    <row r="339" customFormat="false" ht="15" hidden="false" customHeight="false" outlineLevel="0" collapsed="false">
      <c r="A339" s="16" t="s">
        <v>921</v>
      </c>
      <c r="B339" s="1" t="s">
        <v>919</v>
      </c>
      <c r="C339" s="1" t="str">
        <f aca="false">IF(G339=0,E339,B339)</f>
        <v>PRUEBA DE GRADO</v>
      </c>
      <c r="D339" s="1" t="n">
        <f aca="false">LEN(C339)</f>
        <v>15</v>
      </c>
      <c r="E339" s="1"/>
      <c r="F339" s="1" t="n">
        <f aca="false">LEN(B339)</f>
        <v>15</v>
      </c>
      <c r="G339" s="1" t="n">
        <v>1</v>
      </c>
      <c r="H339" s="16"/>
    </row>
    <row r="340" customFormat="false" ht="15" hidden="false" customHeight="false" outlineLevel="0" collapsed="false">
      <c r="A340" s="16" t="s">
        <v>922</v>
      </c>
      <c r="B340" s="1" t="s">
        <v>919</v>
      </c>
      <c r="C340" s="1" t="str">
        <f aca="false">IF(G340=0,E340,B340)</f>
        <v>PRUEBA DE GRADO</v>
      </c>
      <c r="D340" s="1" t="n">
        <f aca="false">LEN(C340)</f>
        <v>15</v>
      </c>
      <c r="E340" s="1"/>
      <c r="F340" s="1" t="n">
        <f aca="false">LEN(B340)</f>
        <v>15</v>
      </c>
      <c r="G340" s="1" t="n">
        <v>1</v>
      </c>
      <c r="H340" s="16"/>
    </row>
    <row r="341" customFormat="false" ht="15" hidden="false" customHeight="false" outlineLevel="0" collapsed="false">
      <c r="A341" s="16" t="s">
        <v>923</v>
      </c>
      <c r="B341" s="1" t="s">
        <v>919</v>
      </c>
      <c r="C341" s="1" t="str">
        <f aca="false">IF(G341=0,E341,B341)</f>
        <v>PRUEBA DE GRADO</v>
      </c>
      <c r="D341" s="1" t="n">
        <f aca="false">LEN(C341)</f>
        <v>15</v>
      </c>
      <c r="E341" s="1"/>
      <c r="F341" s="1" t="n">
        <f aca="false">LEN(B341)</f>
        <v>15</v>
      </c>
      <c r="G341" s="1" t="n">
        <v>1</v>
      </c>
      <c r="H341" s="16"/>
    </row>
    <row r="342" customFormat="false" ht="15" hidden="false" customHeight="false" outlineLevel="0" collapsed="false">
      <c r="A342" s="16" t="s">
        <v>924</v>
      </c>
      <c r="B342" s="1" t="s">
        <v>919</v>
      </c>
      <c r="C342" s="1" t="str">
        <f aca="false">IF(G342=0,E342,B342)</f>
        <v>PRUEBA DE GRADO</v>
      </c>
      <c r="D342" s="1" t="n">
        <f aca="false">LEN(C342)</f>
        <v>15</v>
      </c>
      <c r="E342" s="1"/>
      <c r="F342" s="1" t="n">
        <f aca="false">LEN(B342)</f>
        <v>15</v>
      </c>
      <c r="G342" s="1" t="n">
        <v>1</v>
      </c>
      <c r="H342" s="16"/>
    </row>
    <row r="343" customFormat="false" ht="15" hidden="false" customHeight="false" outlineLevel="0" collapsed="false">
      <c r="A343" s="16" t="s">
        <v>925</v>
      </c>
      <c r="B343" s="1" t="s">
        <v>926</v>
      </c>
      <c r="C343" s="1" t="str">
        <f aca="false">IF(G343=0,E343,B343)</f>
        <v>PRUEBA GRADO 1 CIENCIAS</v>
      </c>
      <c r="D343" s="1" t="n">
        <f aca="false">LEN(C343)</f>
        <v>23</v>
      </c>
      <c r="E343" s="1"/>
      <c r="F343" s="1" t="n">
        <f aca="false">LEN(B343)</f>
        <v>23</v>
      </c>
      <c r="G343" s="1" t="n">
        <v>1</v>
      </c>
      <c r="H343" s="16"/>
    </row>
    <row r="344" customFormat="false" ht="15" hidden="false" customHeight="false" outlineLevel="0" collapsed="false">
      <c r="A344" s="36" t="s">
        <v>927</v>
      </c>
      <c r="B344" s="1" t="s">
        <v>928</v>
      </c>
      <c r="C344" s="1" t="str">
        <f aca="false">IF(G344=0,E344,B344)</f>
        <v>PRUEBA GRADO 1 DERECHO</v>
      </c>
      <c r="D344" s="1" t="n">
        <f aca="false">LEN(C344)</f>
        <v>22</v>
      </c>
      <c r="E344" s="1"/>
      <c r="F344" s="1" t="n">
        <f aca="false">LEN(B344)</f>
        <v>22</v>
      </c>
      <c r="G344" s="1" t="n">
        <v>1</v>
      </c>
      <c r="H344" s="16"/>
    </row>
    <row r="345" customFormat="false" ht="15" hidden="false" customHeight="false" outlineLevel="0" collapsed="false">
      <c r="A345" s="35" t="s">
        <v>929</v>
      </c>
      <c r="B345" s="1" t="s">
        <v>930</v>
      </c>
      <c r="C345" s="1" t="str">
        <f aca="false">IF(G345=0,E345,B345)</f>
        <v>PRUEBA GRADO 1 ESPAÑOL</v>
      </c>
      <c r="D345" s="1" t="n">
        <f aca="false">LEN(C345)</f>
        <v>22</v>
      </c>
      <c r="E345" s="1"/>
      <c r="F345" s="1" t="n">
        <f aca="false">LEN(B345)</f>
        <v>22</v>
      </c>
      <c r="G345" s="1" t="n">
        <v>1</v>
      </c>
      <c r="H345" s="16"/>
    </row>
    <row r="346" customFormat="false" ht="15" hidden="false" customHeight="false" outlineLevel="0" collapsed="false">
      <c r="A346" s="24" t="s">
        <v>931</v>
      </c>
      <c r="B346" s="1" t="s">
        <v>932</v>
      </c>
      <c r="C346" s="1" t="str">
        <f aca="false">IF(G346=0,E346,B346)</f>
        <v>PRUEBA GRADO 1 EST SOC</v>
      </c>
      <c r="D346" s="1" t="n">
        <f aca="false">LEN(C346)</f>
        <v>22</v>
      </c>
      <c r="E346" s="1"/>
      <c r="F346" s="1" t="n">
        <f aca="false">LEN(B346)</f>
        <v>22</v>
      </c>
      <c r="G346" s="1" t="n">
        <v>1</v>
      </c>
      <c r="H346" s="16"/>
    </row>
    <row r="347" customFormat="false" ht="15" hidden="false" customHeight="false" outlineLevel="0" collapsed="false">
      <c r="A347" s="35" t="s">
        <v>933</v>
      </c>
      <c r="B347" s="1" t="s">
        <v>934</v>
      </c>
      <c r="C347" s="1" t="str">
        <f aca="false">IF(G347=0,E347,B347)</f>
        <v>PRUEBA GRADO 1 MATEMÁTICA</v>
      </c>
      <c r="D347" s="1" t="n">
        <f aca="false">LEN(C347)</f>
        <v>25</v>
      </c>
      <c r="E347" s="1"/>
      <c r="F347" s="1" t="n">
        <f aca="false">LEN(B347)</f>
        <v>25</v>
      </c>
      <c r="G347" s="1" t="n">
        <v>1</v>
      </c>
      <c r="H347" s="16"/>
    </row>
    <row r="348" customFormat="false" ht="15" hidden="false" customHeight="false" outlineLevel="0" collapsed="false">
      <c r="A348" s="24" t="s">
        <v>935</v>
      </c>
      <c r="B348" s="1" t="s">
        <v>936</v>
      </c>
      <c r="C348" s="1" t="str">
        <f aca="false">IF(G348=0,E348,B348)</f>
        <v>PRUEBA GRADO 1 PRIMARIA</v>
      </c>
      <c r="D348" s="1" t="n">
        <f aca="false">LEN(C348)</f>
        <v>23</v>
      </c>
      <c r="E348" s="1"/>
      <c r="F348" s="1" t="n">
        <f aca="false">LEN(B348)</f>
        <v>23</v>
      </c>
      <c r="G348" s="1" t="n">
        <v>1</v>
      </c>
      <c r="H348" s="16"/>
    </row>
    <row r="349" customFormat="false" ht="15" hidden="false" customHeight="false" outlineLevel="0" collapsed="false">
      <c r="A349" s="35" t="s">
        <v>937</v>
      </c>
      <c r="B349" s="1" t="s">
        <v>938</v>
      </c>
      <c r="C349" s="1" t="str">
        <f aca="false">IF(G349=0,E349,B349)</f>
        <v>PRUEBA GRADO 2  ESPAÑOL</v>
      </c>
      <c r="D349" s="1" t="n">
        <f aca="false">LEN(C349)</f>
        <v>23</v>
      </c>
      <c r="E349" s="1"/>
      <c r="F349" s="1" t="n">
        <f aca="false">LEN(B349)</f>
        <v>23</v>
      </c>
      <c r="G349" s="1" t="n">
        <v>1</v>
      </c>
      <c r="H349" s="16"/>
    </row>
    <row r="350" customFormat="false" ht="15" hidden="false" customHeight="false" outlineLevel="0" collapsed="false">
      <c r="A350" s="24" t="s">
        <v>939</v>
      </c>
      <c r="B350" s="1" t="s">
        <v>940</v>
      </c>
      <c r="C350" s="1" t="str">
        <f aca="false">IF(G350=0,E350,B350)</f>
        <v>PRUEBA GRADO 2  PRIMARIA</v>
      </c>
      <c r="D350" s="1" t="n">
        <f aca="false">LEN(C350)</f>
        <v>24</v>
      </c>
      <c r="E350" s="1"/>
      <c r="F350" s="1" t="n">
        <f aca="false">LEN(B350)</f>
        <v>24</v>
      </c>
      <c r="G350" s="1" t="n">
        <v>1</v>
      </c>
      <c r="H350" s="16"/>
    </row>
    <row r="351" customFormat="false" ht="15" hidden="false" customHeight="false" outlineLevel="0" collapsed="false">
      <c r="A351" s="16" t="s">
        <v>941</v>
      </c>
      <c r="B351" s="1" t="s">
        <v>942</v>
      </c>
      <c r="C351" s="1" t="str">
        <f aca="false">IF(G351=0,E351,B351)</f>
        <v>PRUEBA GRADO 2 CIENCIAS</v>
      </c>
      <c r="D351" s="1" t="n">
        <f aca="false">LEN(C351)</f>
        <v>23</v>
      </c>
      <c r="E351" s="1"/>
      <c r="F351" s="1" t="n">
        <f aca="false">LEN(B351)</f>
        <v>23</v>
      </c>
      <c r="G351" s="1" t="n">
        <v>1</v>
      </c>
      <c r="H351" s="16"/>
    </row>
    <row r="352" customFormat="false" ht="15" hidden="false" customHeight="false" outlineLevel="0" collapsed="false">
      <c r="A352" s="36" t="s">
        <v>943</v>
      </c>
      <c r="B352" s="1" t="s">
        <v>944</v>
      </c>
      <c r="C352" s="1" t="str">
        <f aca="false">IF(G352=0,E352,B352)</f>
        <v>PRUEBA GRADO 2 DERECHO</v>
      </c>
      <c r="D352" s="1" t="n">
        <f aca="false">LEN(C352)</f>
        <v>22</v>
      </c>
      <c r="E352" s="1"/>
      <c r="F352" s="1" t="n">
        <f aca="false">LEN(B352)</f>
        <v>22</v>
      </c>
      <c r="G352" s="1" t="n">
        <v>1</v>
      </c>
      <c r="H352" s="16"/>
    </row>
    <row r="353" customFormat="false" ht="15" hidden="false" customHeight="false" outlineLevel="0" collapsed="false">
      <c r="A353" s="24" t="s">
        <v>945</v>
      </c>
      <c r="B353" s="1" t="s">
        <v>946</v>
      </c>
      <c r="C353" s="1" t="str">
        <f aca="false">IF(G353=0,E353,B353)</f>
        <v>PRUEBA GRADO 2 EST SOC</v>
      </c>
      <c r="D353" s="1" t="n">
        <f aca="false">LEN(C353)</f>
        <v>22</v>
      </c>
      <c r="E353" s="1"/>
      <c r="F353" s="1" t="n">
        <f aca="false">LEN(B353)</f>
        <v>22</v>
      </c>
      <c r="G353" s="1" t="n">
        <v>1</v>
      </c>
      <c r="H353" s="16"/>
    </row>
    <row r="354" customFormat="false" ht="15" hidden="false" customHeight="false" outlineLevel="0" collapsed="false">
      <c r="A354" s="35" t="s">
        <v>947</v>
      </c>
      <c r="B354" s="1" t="s">
        <v>948</v>
      </c>
      <c r="C354" s="1" t="str">
        <f aca="false">IF(G354=0,E354,B354)</f>
        <v>PRUEBA GRADO 2 MATEMÁTICA</v>
      </c>
      <c r="D354" s="1" t="n">
        <f aca="false">LEN(C354)</f>
        <v>25</v>
      </c>
      <c r="E354" s="1"/>
      <c r="F354" s="1" t="n">
        <f aca="false">LEN(B354)</f>
        <v>25</v>
      </c>
      <c r="G354" s="1" t="n">
        <v>1</v>
      </c>
      <c r="H354" s="16"/>
    </row>
    <row r="355" customFormat="false" ht="15" hidden="false" customHeight="false" outlineLevel="0" collapsed="false">
      <c r="A355" s="35" t="s">
        <v>949</v>
      </c>
      <c r="B355" s="1" t="s">
        <v>950</v>
      </c>
      <c r="C355" s="1" t="str">
        <f aca="false">IF(G355=0,E355,B355)</f>
        <v>PRUEBA GRADO 3  ESPAÑOL</v>
      </c>
      <c r="D355" s="1" t="n">
        <f aca="false">LEN(C355)</f>
        <v>23</v>
      </c>
      <c r="E355" s="1"/>
      <c r="F355" s="1" t="n">
        <f aca="false">LEN(B355)</f>
        <v>23</v>
      </c>
      <c r="G355" s="1" t="n">
        <v>1</v>
      </c>
      <c r="H355" s="16"/>
    </row>
    <row r="356" customFormat="false" ht="15" hidden="false" customHeight="false" outlineLevel="0" collapsed="false">
      <c r="A356" s="24" t="s">
        <v>951</v>
      </c>
      <c r="B356" s="1" t="s">
        <v>952</v>
      </c>
      <c r="C356" s="1" t="str">
        <f aca="false">IF(G356=0,E356,B356)</f>
        <v>PRUEBA GRADO 3  PRIMARIA</v>
      </c>
      <c r="D356" s="1" t="n">
        <f aca="false">LEN(C356)</f>
        <v>24</v>
      </c>
      <c r="E356" s="1"/>
      <c r="F356" s="1" t="n">
        <f aca="false">LEN(B356)</f>
        <v>24</v>
      </c>
      <c r="G356" s="1" t="n">
        <v>1</v>
      </c>
      <c r="H356" s="16"/>
    </row>
    <row r="357" customFormat="false" ht="15" hidden="false" customHeight="false" outlineLevel="0" collapsed="false">
      <c r="A357" s="16" t="s">
        <v>953</v>
      </c>
      <c r="B357" s="1" t="s">
        <v>954</v>
      </c>
      <c r="C357" s="1" t="str">
        <f aca="false">IF(G357=0,E357,B357)</f>
        <v>PRUEBA GRADO 3 CIENCIAS</v>
      </c>
      <c r="D357" s="1" t="n">
        <f aca="false">LEN(C357)</f>
        <v>23</v>
      </c>
      <c r="E357" s="1"/>
      <c r="F357" s="1" t="n">
        <f aca="false">LEN(B357)</f>
        <v>23</v>
      </c>
      <c r="G357" s="1" t="n">
        <v>1</v>
      </c>
      <c r="H357" s="16"/>
    </row>
    <row r="358" customFormat="false" ht="15" hidden="false" customHeight="false" outlineLevel="0" collapsed="false">
      <c r="A358" s="24" t="s">
        <v>955</v>
      </c>
      <c r="B358" s="1" t="s">
        <v>956</v>
      </c>
      <c r="C358" s="1" t="str">
        <f aca="false">IF(G358=0,E358,B358)</f>
        <v>PRUEBA GRADO 3 EST SOC</v>
      </c>
      <c r="D358" s="1" t="n">
        <f aca="false">LEN(C358)</f>
        <v>22</v>
      </c>
      <c r="E358" s="1"/>
      <c r="F358" s="1" t="n">
        <f aca="false">LEN(B358)</f>
        <v>22</v>
      </c>
      <c r="G358" s="1" t="n">
        <v>1</v>
      </c>
      <c r="H358" s="16"/>
    </row>
    <row r="359" customFormat="false" ht="15" hidden="false" customHeight="false" outlineLevel="0" collapsed="false">
      <c r="A359" s="35" t="s">
        <v>957</v>
      </c>
      <c r="B359" s="1" t="s">
        <v>958</v>
      </c>
      <c r="C359" s="1" t="str">
        <f aca="false">IF(G359=0,E359,B359)</f>
        <v>PRUEBA GRADO 3 MATEMÁTICA</v>
      </c>
      <c r="D359" s="1" t="n">
        <f aca="false">LEN(C359)</f>
        <v>25</v>
      </c>
      <c r="E359" s="1"/>
      <c r="F359" s="1" t="n">
        <f aca="false">LEN(B359)</f>
        <v>25</v>
      </c>
      <c r="G359" s="1" t="n">
        <v>1</v>
      </c>
      <c r="H359" s="16"/>
    </row>
    <row r="360" customFormat="false" ht="15" hidden="false" customHeight="false" outlineLevel="0" collapsed="false">
      <c r="A360" s="16" t="s">
        <v>959</v>
      </c>
      <c r="B360" s="1" t="s">
        <v>676</v>
      </c>
      <c r="C360" s="1" t="str">
        <f aca="false">IF(G360=0,E360,B360)</f>
        <v>PSIC APRE EDUC ADUL</v>
      </c>
      <c r="D360" s="1" t="n">
        <f aca="false">LEN(C360)</f>
        <v>19</v>
      </c>
      <c r="E360" s="1" t="s">
        <v>677</v>
      </c>
      <c r="F360" s="1" t="n">
        <f aca="false">LEN(B360)</f>
        <v>53</v>
      </c>
      <c r="G360" s="1" t="n">
        <v>0</v>
      </c>
      <c r="H360" s="16"/>
    </row>
    <row r="361" customFormat="false" ht="15" hidden="false" customHeight="false" outlineLevel="0" collapsed="false">
      <c r="A361" s="16" t="s">
        <v>960</v>
      </c>
      <c r="B361" s="1" t="s">
        <v>679</v>
      </c>
      <c r="C361" s="1" t="str">
        <f aca="false">IF(G361=0,E361,B361)</f>
        <v>PSIC EDUC DESA COGN</v>
      </c>
      <c r="D361" s="1" t="n">
        <f aca="false">LEN(C361)</f>
        <v>19</v>
      </c>
      <c r="E361" s="1" t="s">
        <v>680</v>
      </c>
      <c r="F361" s="1" t="n">
        <f aca="false">LEN(B361)</f>
        <v>44</v>
      </c>
      <c r="G361" s="1" t="n">
        <v>0</v>
      </c>
      <c r="H361" s="16" t="n">
        <v>3</v>
      </c>
    </row>
    <row r="362" customFormat="false" ht="15" hidden="false" customHeight="false" outlineLevel="0" collapsed="false">
      <c r="A362" s="16" t="s">
        <v>961</v>
      </c>
      <c r="B362" s="1" t="s">
        <v>682</v>
      </c>
      <c r="C362" s="1" t="str">
        <f aca="false">IF(G362=0,E362,B362)</f>
        <v>QUÍM GENE I TEORÍA LABO</v>
      </c>
      <c r="D362" s="1" t="n">
        <f aca="false">LEN(C362)</f>
        <v>23</v>
      </c>
      <c r="E362" s="1" t="s">
        <v>683</v>
      </c>
      <c r="F362" s="1" t="n">
        <f aca="false">LEN(B362)</f>
        <v>39</v>
      </c>
      <c r="G362" s="1" t="n">
        <v>0</v>
      </c>
      <c r="H362" s="16" t="n">
        <v>4</v>
      </c>
    </row>
    <row r="363" customFormat="false" ht="15" hidden="false" customHeight="false" outlineLevel="0" collapsed="false">
      <c r="A363" s="16" t="s">
        <v>962</v>
      </c>
      <c r="B363" s="1" t="s">
        <v>686</v>
      </c>
      <c r="C363" s="1" t="str">
        <f aca="false">IF(G363=0,E363,B363)</f>
        <v>QUÍM GENE II TEORÍA LABO</v>
      </c>
      <c r="D363" s="1" t="n">
        <f aca="false">LEN(C363)</f>
        <v>24</v>
      </c>
      <c r="E363" s="1" t="s">
        <v>687</v>
      </c>
      <c r="F363" s="1" t="n">
        <f aca="false">LEN(B363)</f>
        <v>40</v>
      </c>
      <c r="G363" s="1" t="n">
        <v>0</v>
      </c>
      <c r="H363" s="16" t="n">
        <v>4</v>
      </c>
    </row>
    <row r="364" customFormat="false" ht="15" hidden="false" customHeight="false" outlineLevel="0" collapsed="false">
      <c r="A364" s="16" t="s">
        <v>963</v>
      </c>
      <c r="B364" s="1" t="s">
        <v>691</v>
      </c>
      <c r="C364" s="1" t="str">
        <f aca="false">IF(G364=0,E364,B364)</f>
        <v>QUÍM MODE ENSE CIEN</v>
      </c>
      <c r="D364" s="1" t="n">
        <f aca="false">LEN(C364)</f>
        <v>19</v>
      </c>
      <c r="E364" s="1" t="s">
        <v>692</v>
      </c>
      <c r="F364" s="1" t="n">
        <f aca="false">LEN(B364)</f>
        <v>49</v>
      </c>
      <c r="G364" s="1" t="n">
        <v>0</v>
      </c>
      <c r="H364" s="16" t="n">
        <v>3</v>
      </c>
    </row>
    <row r="365" customFormat="false" ht="15" hidden="false" customHeight="false" outlineLevel="0" collapsed="false">
      <c r="A365" s="16" t="s">
        <v>964</v>
      </c>
      <c r="B365" s="1" t="s">
        <v>965</v>
      </c>
      <c r="C365" s="1" t="str">
        <f aca="false">IF(G365=0,E365,B365)</f>
        <v>REDACCIÓN PUBLICITARIA</v>
      </c>
      <c r="D365" s="1" t="n">
        <f aca="false">LEN(C365)</f>
        <v>22</v>
      </c>
      <c r="E365" s="1"/>
      <c r="F365" s="1" t="n">
        <f aca="false">LEN(B365)</f>
        <v>22</v>
      </c>
      <c r="G365" s="1" t="n">
        <v>1</v>
      </c>
      <c r="H365" s="16"/>
    </row>
    <row r="366" customFormat="false" ht="15" hidden="false" customHeight="false" outlineLevel="0" collapsed="false">
      <c r="A366" s="16" t="s">
        <v>966</v>
      </c>
      <c r="B366" s="1" t="s">
        <v>967</v>
      </c>
      <c r="C366" s="1" t="str">
        <f aca="false">IF(G366=0,E366,B366)</f>
        <v>REDES EDUCATIVAS</v>
      </c>
      <c r="D366" s="1" t="n">
        <f aca="false">LEN(C366)</f>
        <v>16</v>
      </c>
      <c r="E366" s="1"/>
      <c r="F366" s="1" t="n">
        <f aca="false">LEN(B366)</f>
        <v>16</v>
      </c>
      <c r="G366" s="1" t="n">
        <v>1</v>
      </c>
    </row>
    <row r="367" customFormat="false" ht="15" hidden="false" customHeight="false" outlineLevel="0" collapsed="false">
      <c r="A367" s="16" t="s">
        <v>968</v>
      </c>
      <c r="B367" s="1" t="s">
        <v>694</v>
      </c>
      <c r="C367" s="1" t="str">
        <f aca="false">IF(G367=0,E367,B367)</f>
        <v>RELA CONT LABO</v>
      </c>
      <c r="D367" s="1" t="n">
        <f aca="false">LEN(C367)</f>
        <v>14</v>
      </c>
      <c r="E367" s="1" t="s">
        <v>695</v>
      </c>
      <c r="F367" s="1" t="n">
        <f aca="false">LEN(B367)</f>
        <v>34</v>
      </c>
      <c r="G367" s="1" t="n">
        <v>0</v>
      </c>
      <c r="H367" s="0" t="n">
        <v>3</v>
      </c>
    </row>
    <row r="368" customFormat="false" ht="15" hidden="false" customHeight="false" outlineLevel="0" collapsed="false">
      <c r="A368" s="27" t="s">
        <v>969</v>
      </c>
      <c r="B368" s="1" t="s">
        <v>697</v>
      </c>
      <c r="C368" s="1" t="str">
        <f aca="false">IF(G368=0,E368,B368)</f>
        <v>RESO PROB RAZO PENS MATE</v>
      </c>
      <c r="D368" s="1" t="n">
        <f aca="false">LEN(C368)</f>
        <v>24</v>
      </c>
      <c r="E368" s="1" t="s">
        <v>698</v>
      </c>
      <c r="F368" s="1" t="n">
        <f aca="false">LEN(B368)</f>
        <v>62</v>
      </c>
      <c r="G368" s="1" t="n">
        <v>0</v>
      </c>
    </row>
    <row r="369" customFormat="false" ht="15" hidden="false" customHeight="false" outlineLevel="0" collapsed="false">
      <c r="A369" s="16" t="s">
        <v>970</v>
      </c>
      <c r="B369" s="1" t="s">
        <v>971</v>
      </c>
      <c r="C369" s="1" t="str">
        <f aca="false">IF(G369=0,E369,B369)</f>
        <v>RUTAS DE APRENDIZAJE</v>
      </c>
      <c r="D369" s="1" t="n">
        <f aca="false">LEN(C369)</f>
        <v>20</v>
      </c>
      <c r="E369" s="1"/>
      <c r="F369" s="1" t="n">
        <f aca="false">LEN(B369)</f>
        <v>20</v>
      </c>
      <c r="G369" s="1" t="n">
        <v>1</v>
      </c>
    </row>
    <row r="370" customFormat="false" ht="15" hidden="false" customHeight="false" outlineLevel="0" collapsed="false">
      <c r="A370" s="26" t="s">
        <v>972</v>
      </c>
      <c r="B370" s="1" t="s">
        <v>700</v>
      </c>
      <c r="C370" s="1" t="str">
        <f aca="false">IF(G370=0,E370,B370)</f>
        <v>SEGU ÉTICA USO TEC EDUC</v>
      </c>
      <c r="D370" s="1" t="n">
        <f aca="false">LEN(C370)</f>
        <v>23</v>
      </c>
      <c r="E370" s="1" t="s">
        <v>701</v>
      </c>
      <c r="F370" s="1" t="n">
        <f aca="false">LEN(B370)</f>
        <v>53</v>
      </c>
      <c r="G370" s="1" t="n">
        <v>0</v>
      </c>
    </row>
    <row r="371" customFormat="false" ht="15" hidden="false" customHeight="false" outlineLevel="0" collapsed="false">
      <c r="A371" s="35" t="s">
        <v>973</v>
      </c>
      <c r="B371" s="1" t="s">
        <v>703</v>
      </c>
      <c r="C371" s="1" t="str">
        <f aca="false">IF(G371=0,E371,B371)</f>
        <v>SEMÁ LENGUA ESPA</v>
      </c>
      <c r="D371" s="1" t="n">
        <f aca="false">LEN(C371)</f>
        <v>16</v>
      </c>
      <c r="E371" s="1" t="s">
        <v>704</v>
      </c>
      <c r="F371" s="1" t="n">
        <f aca="false">LEN(B371)</f>
        <v>31</v>
      </c>
      <c r="G371" s="1" t="n">
        <v>0</v>
      </c>
      <c r="H371" s="6" t="n">
        <v>3</v>
      </c>
      <c r="I371" s="6"/>
    </row>
    <row r="372" customFormat="false" ht="15" hidden="false" customHeight="false" outlineLevel="0" collapsed="false">
      <c r="A372" s="16" t="s">
        <v>974</v>
      </c>
      <c r="B372" s="1" t="s">
        <v>975</v>
      </c>
      <c r="C372" s="1" t="str">
        <f aca="false">IF(G372=0,E372,B372)</f>
        <v>SEMINARIO DE GRADUACIÓN</v>
      </c>
      <c r="D372" s="1" t="n">
        <f aca="false">LEN(C372)</f>
        <v>23</v>
      </c>
      <c r="E372" s="1"/>
      <c r="F372" s="1" t="n">
        <f aca="false">LEN(B372)</f>
        <v>23</v>
      </c>
      <c r="G372" s="1" t="n">
        <v>1</v>
      </c>
      <c r="H372" s="0" t="n">
        <v>0</v>
      </c>
    </row>
    <row r="373" customFormat="false" ht="15" hidden="false" customHeight="false" outlineLevel="0" collapsed="false">
      <c r="A373" s="35" t="s">
        <v>976</v>
      </c>
      <c r="B373" s="1" t="s">
        <v>975</v>
      </c>
      <c r="C373" s="1" t="str">
        <f aca="false">IF(G373=0,E373,B373)</f>
        <v>SEMINARIO DE GRADUACIÓN</v>
      </c>
      <c r="D373" s="1" t="n">
        <f aca="false">LEN(C373)</f>
        <v>23</v>
      </c>
      <c r="E373" s="1"/>
      <c r="F373" s="1" t="n">
        <f aca="false">LEN(B373)</f>
        <v>23</v>
      </c>
      <c r="G373" s="1" t="n">
        <v>1</v>
      </c>
      <c r="H373" s="6" t="n">
        <v>0</v>
      </c>
      <c r="I373" s="6"/>
    </row>
    <row r="374" customFormat="false" ht="15" hidden="false" customHeight="false" outlineLevel="0" collapsed="false">
      <c r="A374" s="24" t="s">
        <v>977</v>
      </c>
      <c r="B374" s="1" t="s">
        <v>975</v>
      </c>
      <c r="C374" s="1" t="str">
        <f aca="false">IF(G374=0,E374,B374)</f>
        <v>SEMINARIO DE GRADUACIÓN</v>
      </c>
      <c r="D374" s="1" t="n">
        <f aca="false">LEN(C374)</f>
        <v>23</v>
      </c>
      <c r="E374" s="1"/>
      <c r="F374" s="1" t="n">
        <f aca="false">LEN(B374)</f>
        <v>23</v>
      </c>
      <c r="G374" s="1" t="n">
        <v>1</v>
      </c>
    </row>
    <row r="375" customFormat="false" ht="15" hidden="false" customHeight="false" outlineLevel="0" collapsed="false">
      <c r="A375" s="22" t="s">
        <v>978</v>
      </c>
      <c r="B375" s="1" t="s">
        <v>975</v>
      </c>
      <c r="C375" s="1" t="str">
        <f aca="false">IF(G375=0,E375,B375)</f>
        <v>SEMINARIO DE GRADUACIÓN</v>
      </c>
      <c r="D375" s="1" t="n">
        <f aca="false">LEN(C375)</f>
        <v>23</v>
      </c>
      <c r="E375" s="1"/>
      <c r="F375" s="1" t="n">
        <f aca="false">LEN(B375)</f>
        <v>23</v>
      </c>
      <c r="G375" s="1" t="n">
        <v>1</v>
      </c>
      <c r="H375" s="6" t="n">
        <v>0</v>
      </c>
    </row>
    <row r="376" customFormat="false" ht="15" hidden="false" customHeight="false" outlineLevel="0" collapsed="false">
      <c r="A376" s="40" t="s">
        <v>979</v>
      </c>
      <c r="B376" s="1" t="s">
        <v>975</v>
      </c>
      <c r="C376" s="1" t="str">
        <f aca="false">IF(G376=0,E376,B376)</f>
        <v>SEMINARIO DE GRADUACIÓN</v>
      </c>
      <c r="D376" s="1" t="n">
        <f aca="false">LEN(C376)</f>
        <v>23</v>
      </c>
      <c r="E376" s="1"/>
      <c r="F376" s="1" t="n">
        <f aca="false">LEN(B376)</f>
        <v>23</v>
      </c>
      <c r="G376" s="1" t="n">
        <v>1</v>
      </c>
      <c r="H376" s="6" t="n">
        <v>0</v>
      </c>
    </row>
    <row r="377" customFormat="false" ht="15" hidden="false" customHeight="false" outlineLevel="0" collapsed="false">
      <c r="A377" s="25" t="s">
        <v>980</v>
      </c>
      <c r="B377" s="1" t="s">
        <v>981</v>
      </c>
      <c r="C377" s="1" t="str">
        <f aca="false">IF(G377=0,E377,B377)</f>
        <v>SEMINARIO DE GRADUACIÓN I</v>
      </c>
      <c r="D377" s="1" t="n">
        <f aca="false">LEN(C377)</f>
        <v>25</v>
      </c>
      <c r="E377" s="1"/>
      <c r="F377" s="1" t="n">
        <f aca="false">LEN(B377)</f>
        <v>25</v>
      </c>
      <c r="G377" s="1" t="n">
        <v>1</v>
      </c>
      <c r="H377" s="10" t="n">
        <v>0</v>
      </c>
    </row>
    <row r="378" customFormat="false" ht="15" hidden="false" customHeight="false" outlineLevel="0" collapsed="false">
      <c r="A378" s="25" t="s">
        <v>982</v>
      </c>
      <c r="B378" s="1" t="s">
        <v>983</v>
      </c>
      <c r="C378" s="1" t="str">
        <f aca="false">IF(G378=0,E378,B378)</f>
        <v>SEMINARIO DE GRADUACIÓN II</v>
      </c>
      <c r="D378" s="1" t="n">
        <f aca="false">LEN(C378)</f>
        <v>26</v>
      </c>
      <c r="E378" s="1"/>
      <c r="F378" s="1" t="n">
        <f aca="false">LEN(B378)</f>
        <v>26</v>
      </c>
      <c r="G378" s="1" t="n">
        <v>1</v>
      </c>
      <c r="H378" s="10" t="n">
        <v>0</v>
      </c>
    </row>
    <row r="379" customFormat="false" ht="15" hidden="false" customHeight="false" outlineLevel="0" collapsed="false">
      <c r="A379" s="16" t="s">
        <v>984</v>
      </c>
      <c r="B379" s="1" t="s">
        <v>706</v>
      </c>
      <c r="C379" s="1" t="str">
        <f aca="false">IF(G379=0,E379,B379)</f>
        <v>SEMI INNO EDUC</v>
      </c>
      <c r="D379" s="1" t="n">
        <f aca="false">LEN(C379)</f>
        <v>14</v>
      </c>
      <c r="E379" s="1" t="s">
        <v>707</v>
      </c>
      <c r="F379" s="1" t="n">
        <f aca="false">LEN(B379)</f>
        <v>36</v>
      </c>
      <c r="G379" s="1" t="n">
        <v>0</v>
      </c>
      <c r="H379" s="0" t="n">
        <v>3</v>
      </c>
    </row>
    <row r="380" customFormat="false" ht="15" hidden="false" customHeight="false" outlineLevel="0" collapsed="false">
      <c r="A380" s="13" t="s">
        <v>985</v>
      </c>
      <c r="B380" s="1" t="s">
        <v>710</v>
      </c>
      <c r="C380" s="1" t="str">
        <f aca="false">IF(G380=0,E380,B380)</f>
        <v>SEMI LENG CLÁS</v>
      </c>
      <c r="D380" s="1" t="n">
        <f aca="false">LEN(C380)</f>
        <v>14</v>
      </c>
      <c r="E380" s="1" t="s">
        <v>711</v>
      </c>
      <c r="F380" s="1" t="n">
        <f aca="false">LEN(B380)</f>
        <v>29</v>
      </c>
      <c r="G380" s="1" t="n">
        <v>0</v>
      </c>
      <c r="H380" s="6" t="n">
        <v>3</v>
      </c>
      <c r="I380" s="6"/>
    </row>
    <row r="381" customFormat="false" ht="15" hidden="false" customHeight="false" outlineLevel="0" collapsed="false">
      <c r="A381" s="35" t="s">
        <v>986</v>
      </c>
      <c r="B381" s="1" t="s">
        <v>713</v>
      </c>
      <c r="C381" s="1" t="str">
        <f aca="false">IF(G381=0,E381,B381)</f>
        <v>SEMI LENGUA ESPA</v>
      </c>
      <c r="D381" s="1" t="n">
        <f aca="false">LEN(C381)</f>
        <v>16</v>
      </c>
      <c r="E381" s="1" t="s">
        <v>714</v>
      </c>
      <c r="F381" s="1" t="n">
        <f aca="false">LEN(B381)</f>
        <v>31</v>
      </c>
      <c r="G381" s="1" t="n">
        <v>0</v>
      </c>
      <c r="H381" s="6" t="n">
        <v>3</v>
      </c>
      <c r="I381" s="6"/>
    </row>
    <row r="382" customFormat="false" ht="15" hidden="false" customHeight="false" outlineLevel="0" collapsed="false">
      <c r="A382" s="26" t="s">
        <v>987</v>
      </c>
      <c r="B382" s="1" t="s">
        <v>988</v>
      </c>
      <c r="C382" s="1" t="str">
        <f aca="false">IF(G382=0,E382,B382)</f>
        <v>SIMULACIÓN DE PROCESOS</v>
      </c>
      <c r="D382" s="1" t="n">
        <f aca="false">LEN(C382)</f>
        <v>22</v>
      </c>
      <c r="E382" s="1"/>
      <c r="F382" s="1" t="n">
        <f aca="false">LEN(B382)</f>
        <v>22</v>
      </c>
      <c r="G382" s="1" t="n">
        <v>1</v>
      </c>
      <c r="H382" s="0" t="n">
        <v>4</v>
      </c>
    </row>
    <row r="383" customFormat="false" ht="15" hidden="false" customHeight="false" outlineLevel="0" collapsed="false">
      <c r="A383" s="31" t="s">
        <v>989</v>
      </c>
      <c r="B383" s="1" t="s">
        <v>716</v>
      </c>
      <c r="C383" s="1" t="str">
        <f aca="false">IF(G383=0,E383,B383)</f>
        <v>SIST GEST CAL METR NORM</v>
      </c>
      <c r="D383" s="1" t="n">
        <f aca="false">LEN(C383)</f>
        <v>23</v>
      </c>
      <c r="E383" s="1" t="s">
        <v>717</v>
      </c>
      <c r="F383" s="1" t="n">
        <f aca="false">LEN(B383)</f>
        <v>56</v>
      </c>
      <c r="G383" s="1" t="n">
        <v>0</v>
      </c>
    </row>
    <row r="384" customFormat="false" ht="15" hidden="false" customHeight="false" outlineLevel="0" collapsed="false">
      <c r="A384" s="21" t="s">
        <v>990</v>
      </c>
      <c r="B384" s="1" t="s">
        <v>991</v>
      </c>
      <c r="C384" s="1" t="str">
        <f aca="false">IF(G384=0,E384,B384)</f>
        <v>SIST GEST CAL METR NORM</v>
      </c>
      <c r="D384" s="1" t="n">
        <f aca="false">LEN(C384)</f>
        <v>23</v>
      </c>
      <c r="E384" s="1" t="s">
        <v>717</v>
      </c>
      <c r="F384" s="1" t="n">
        <f aca="false">LEN(B384)</f>
        <v>57</v>
      </c>
      <c r="G384" s="1" t="n">
        <v>0</v>
      </c>
    </row>
    <row r="385" customFormat="false" ht="15" hidden="false" customHeight="false" outlineLevel="0" collapsed="false">
      <c r="A385" s="0" t="s">
        <v>992</v>
      </c>
      <c r="B385" s="1" t="s">
        <v>720</v>
      </c>
      <c r="C385" s="1" t="str">
        <f aca="false">IF(G385=0,E385,B385)</f>
        <v>SOST ORGA</v>
      </c>
      <c r="D385" s="1" t="n">
        <f aca="false">LEN(C385)</f>
        <v>9</v>
      </c>
      <c r="E385" s="1" t="s">
        <v>721</v>
      </c>
      <c r="F385" s="1" t="n">
        <f aca="false">LEN(B385)</f>
        <v>29</v>
      </c>
      <c r="G385" s="1" t="n">
        <v>0</v>
      </c>
      <c r="H385" s="0" t="n">
        <v>3</v>
      </c>
    </row>
    <row r="386" customFormat="false" ht="15" hidden="false" customHeight="false" outlineLevel="0" collapsed="false">
      <c r="A386" s="0" t="s">
        <v>993</v>
      </c>
      <c r="B386" s="1" t="s">
        <v>994</v>
      </c>
      <c r="C386" s="1" t="str">
        <f aca="false">IF(G386=0,E386,B386)</f>
        <v>SUPERVISIÓN BANCARIA</v>
      </c>
      <c r="D386" s="1" t="n">
        <f aca="false">LEN(C386)</f>
        <v>20</v>
      </c>
      <c r="E386" s="1"/>
      <c r="F386" s="1" t="n">
        <f aca="false">LEN(B386)</f>
        <v>20</v>
      </c>
      <c r="G386" s="1" t="n">
        <v>1</v>
      </c>
      <c r="H386" s="0" t="n">
        <v>3</v>
      </c>
    </row>
    <row r="387" customFormat="false" ht="15" hidden="false" customHeight="false" outlineLevel="0" collapsed="false">
      <c r="A387" s="0" t="s">
        <v>995</v>
      </c>
      <c r="B387" s="1" t="s">
        <v>723</v>
      </c>
      <c r="C387" s="1" t="str">
        <f aca="false">IF(G387=0,E387,B387)</f>
        <v>SUPE EVAL DESA EDUC</v>
      </c>
      <c r="D387" s="1" t="n">
        <f aca="false">LEN(C387)</f>
        <v>19</v>
      </c>
      <c r="E387" s="1" t="s">
        <v>724</v>
      </c>
      <c r="F387" s="1" t="n">
        <f aca="false">LEN(B387)</f>
        <v>53</v>
      </c>
      <c r="G387" s="1" t="n">
        <v>0</v>
      </c>
    </row>
    <row r="388" customFormat="false" ht="15" hidden="false" customHeight="false" outlineLevel="0" collapsed="false">
      <c r="A388" s="0" t="s">
        <v>996</v>
      </c>
      <c r="B388" s="1" t="s">
        <v>997</v>
      </c>
      <c r="C388" s="1" t="str">
        <f aca="false">IF(G388=0,E388,B388)</f>
        <v>TALLER CREATIVO I</v>
      </c>
      <c r="D388" s="1" t="n">
        <f aca="false">LEN(C388)</f>
        <v>17</v>
      </c>
      <c r="E388" s="1"/>
      <c r="F388" s="1" t="n">
        <f aca="false">LEN(B388)</f>
        <v>17</v>
      </c>
      <c r="G388" s="1" t="n">
        <v>1</v>
      </c>
    </row>
    <row r="389" customFormat="false" ht="15" hidden="false" customHeight="false" outlineLevel="0" collapsed="false">
      <c r="A389" s="0" t="s">
        <v>998</v>
      </c>
      <c r="B389" s="1" t="s">
        <v>999</v>
      </c>
      <c r="C389" s="1" t="str">
        <f aca="false">IF(G389=0,E389,B389)</f>
        <v>TALLER CREATIVO II</v>
      </c>
      <c r="D389" s="1" t="n">
        <f aca="false">LEN(C389)</f>
        <v>18</v>
      </c>
      <c r="E389" s="1"/>
      <c r="F389" s="1" t="n">
        <f aca="false">LEN(B389)</f>
        <v>18</v>
      </c>
      <c r="G389" s="1" t="n">
        <v>1</v>
      </c>
    </row>
    <row r="390" customFormat="false" ht="15" hidden="false" customHeight="false" outlineLevel="0" collapsed="false">
      <c r="A390" s="0" t="s">
        <v>1000</v>
      </c>
      <c r="B390" s="1" t="s">
        <v>1001</v>
      </c>
      <c r="C390" s="1" t="str">
        <f aca="false">IF(G390=0,E390,B390)</f>
        <v>TALLER DE ANDRAGOGÍA</v>
      </c>
      <c r="D390" s="1" t="n">
        <f aca="false">LEN(C390)</f>
        <v>20</v>
      </c>
      <c r="E390" s="1"/>
      <c r="F390" s="1" t="n">
        <f aca="false">LEN(B390)</f>
        <v>20</v>
      </c>
      <c r="G390" s="1" t="n">
        <v>1</v>
      </c>
      <c r="H390" s="0" t="n">
        <v>4</v>
      </c>
    </row>
    <row r="391" customFormat="false" ht="15" hidden="false" customHeight="false" outlineLevel="0" collapsed="false">
      <c r="A391" s="0" t="s">
        <v>1002</v>
      </c>
      <c r="B391" s="1" t="s">
        <v>726</v>
      </c>
      <c r="C391" s="1" t="str">
        <f aca="false">IF(G391=0,E391,B391)</f>
        <v>TALLER DISEÑO INST</v>
      </c>
      <c r="D391" s="1" t="n">
        <f aca="false">LEN(C391)</f>
        <v>18</v>
      </c>
      <c r="E391" s="1" t="s">
        <v>727</v>
      </c>
      <c r="F391" s="1" t="n">
        <f aca="false">LEN(B391)</f>
        <v>30</v>
      </c>
      <c r="G391" s="1" t="n">
        <v>0</v>
      </c>
      <c r="H391" s="0" t="n">
        <v>4</v>
      </c>
    </row>
    <row r="392" customFormat="false" ht="15" hidden="false" customHeight="false" outlineLevel="0" collapsed="false">
      <c r="A392" s="0" t="s">
        <v>1003</v>
      </c>
      <c r="B392" s="1" t="s">
        <v>729</v>
      </c>
      <c r="C392" s="1" t="str">
        <f aca="false">IF(G392=0,E392,B392)</f>
        <v>TALLER EVAL APRE</v>
      </c>
      <c r="D392" s="1" t="n">
        <f aca="false">LEN(C392)</f>
        <v>16</v>
      </c>
      <c r="E392" s="1" t="s">
        <v>730</v>
      </c>
      <c r="F392" s="1" t="n">
        <f aca="false">LEN(B392)</f>
        <v>40</v>
      </c>
      <c r="G392" s="1" t="n">
        <v>0</v>
      </c>
      <c r="H392" s="0" t="n">
        <v>4</v>
      </c>
    </row>
    <row r="393" customFormat="false" ht="15" hidden="false" customHeight="false" outlineLevel="0" collapsed="false">
      <c r="A393" s="0" t="s">
        <v>1004</v>
      </c>
      <c r="B393" s="1" t="s">
        <v>1005</v>
      </c>
      <c r="C393" s="1" t="str">
        <f aca="false">IF(G393=0,E393,B393)</f>
        <v>TALLER DE INTEGRACIÓN  II</v>
      </c>
      <c r="D393" s="1" t="n">
        <f aca="false">LEN(C393)</f>
        <v>25</v>
      </c>
      <c r="E393" s="1"/>
      <c r="F393" s="1" t="n">
        <f aca="false">LEN(B393)</f>
        <v>25</v>
      </c>
      <c r="G393" s="1" t="n">
        <v>1</v>
      </c>
    </row>
    <row r="394" customFormat="false" ht="15" hidden="false" customHeight="false" outlineLevel="0" collapsed="false">
      <c r="A394" s="0" t="s">
        <v>1006</v>
      </c>
      <c r="B394" s="1" t="s">
        <v>1007</v>
      </c>
      <c r="C394" s="1" t="str">
        <f aca="false">IF(G394=0,E394,B394)</f>
        <v>TALLER DE INTEGRACIÓN I</v>
      </c>
      <c r="D394" s="1" t="n">
        <f aca="false">LEN(C394)</f>
        <v>23</v>
      </c>
      <c r="E394" s="1"/>
      <c r="F394" s="1" t="n">
        <f aca="false">LEN(B394)</f>
        <v>23</v>
      </c>
      <c r="G394" s="1" t="n">
        <v>1</v>
      </c>
    </row>
    <row r="395" customFormat="false" ht="15" hidden="false" customHeight="false" outlineLevel="0" collapsed="false">
      <c r="A395" s="0" t="s">
        <v>1008</v>
      </c>
      <c r="B395" s="1" t="s">
        <v>732</v>
      </c>
      <c r="C395" s="1" t="str">
        <f aca="false">IF(G395=0,E395,B395)</f>
        <v>TALLER INVEST EDUC I</v>
      </c>
      <c r="D395" s="1" t="n">
        <f aca="false">LEN(C395)</f>
        <v>20</v>
      </c>
      <c r="E395" s="1" t="s">
        <v>733</v>
      </c>
      <c r="F395" s="1" t="n">
        <f aca="false">LEN(B395)</f>
        <v>35</v>
      </c>
      <c r="G395" s="1" t="n">
        <v>0</v>
      </c>
      <c r="H395" s="0" t="n">
        <v>3</v>
      </c>
    </row>
    <row r="396" customFormat="false" ht="15" hidden="false" customHeight="false" outlineLevel="0" collapsed="false">
      <c r="A396" s="0" t="s">
        <v>1009</v>
      </c>
      <c r="B396" s="1" t="s">
        <v>736</v>
      </c>
      <c r="C396" s="1" t="str">
        <f aca="false">IF(G396=0,E396,B396)</f>
        <v>TALLER INVEST EDUC II</v>
      </c>
      <c r="D396" s="1" t="n">
        <f aca="false">LEN(C396)</f>
        <v>21</v>
      </c>
      <c r="E396" s="1" t="s">
        <v>737</v>
      </c>
      <c r="F396" s="1" t="n">
        <f aca="false">LEN(B396)</f>
        <v>36</v>
      </c>
      <c r="G396" s="1" t="n">
        <v>0</v>
      </c>
      <c r="H396" s="0" t="n">
        <v>3</v>
      </c>
    </row>
    <row r="397" customFormat="false" ht="15" hidden="false" customHeight="false" outlineLevel="0" collapsed="false">
      <c r="A397" s="7" t="s">
        <v>1010</v>
      </c>
      <c r="B397" s="1" t="s">
        <v>740</v>
      </c>
      <c r="C397" s="1" t="str">
        <f aca="false">IF(G397=0,E397,B397)</f>
        <v>TALLER MEDI GEOG</v>
      </c>
      <c r="D397" s="1" t="n">
        <f aca="false">LEN(C397)</f>
        <v>16</v>
      </c>
      <c r="E397" s="1" t="s">
        <v>741</v>
      </c>
      <c r="F397" s="1" t="n">
        <f aca="false">LEN(B397)</f>
        <v>30</v>
      </c>
      <c r="G397" s="1" t="n">
        <v>0</v>
      </c>
      <c r="H397" s="6" t="n">
        <v>4</v>
      </c>
      <c r="I397" s="6"/>
    </row>
    <row r="398" customFormat="false" ht="15" hidden="false" customHeight="false" outlineLevel="0" collapsed="false">
      <c r="A398" s="2" t="s">
        <v>1011</v>
      </c>
      <c r="B398" s="1" t="s">
        <v>1012</v>
      </c>
      <c r="C398" s="1" t="str">
        <f aca="false">IF(G398=0,E398,B398)</f>
        <v>TALLER SIX SIGMA</v>
      </c>
      <c r="D398" s="1" t="n">
        <f aca="false">LEN(C398)</f>
        <v>16</v>
      </c>
      <c r="E398" s="1"/>
      <c r="F398" s="1" t="n">
        <f aca="false">LEN(B398)</f>
        <v>16</v>
      </c>
      <c r="G398" s="1" t="n">
        <v>1</v>
      </c>
    </row>
    <row r="399" customFormat="false" ht="15" hidden="false" customHeight="false" outlineLevel="0" collapsed="false">
      <c r="A399" s="4" t="s">
        <v>1013</v>
      </c>
      <c r="B399" s="1" t="s">
        <v>1014</v>
      </c>
      <c r="C399" s="1" t="str">
        <f aca="false">IF(G399=0,E399,B399)</f>
        <v>TALLER SIX SIGMA</v>
      </c>
      <c r="D399" s="1" t="n">
        <f aca="false">LEN(C399)</f>
        <v>17</v>
      </c>
      <c r="E399" s="1"/>
      <c r="F399" s="1" t="n">
        <f aca="false">LEN(B399)</f>
        <v>17</v>
      </c>
      <c r="G399" s="1" t="n">
        <v>1</v>
      </c>
    </row>
    <row r="400" customFormat="false" ht="15" hidden="false" customHeight="false" outlineLevel="0" collapsed="false">
      <c r="A400" s="0" t="s">
        <v>1015</v>
      </c>
      <c r="B400" s="1" t="s">
        <v>743</v>
      </c>
      <c r="C400" s="1" t="str">
        <f aca="false">IF(G400=0,E400,B400)</f>
        <v>TÉCN NEGO SOLU CONF</v>
      </c>
      <c r="D400" s="1" t="n">
        <f aca="false">LEN(C400)</f>
        <v>19</v>
      </c>
      <c r="E400" s="1" t="s">
        <v>744</v>
      </c>
      <c r="F400" s="1" t="n">
        <f aca="false">LEN(B400)</f>
        <v>48</v>
      </c>
      <c r="G400" s="1" t="n">
        <v>0</v>
      </c>
      <c r="H400" s="0" t="n">
        <v>4</v>
      </c>
    </row>
    <row r="401" customFormat="false" ht="15" hidden="false" customHeight="false" outlineLevel="0" collapsed="false">
      <c r="A401" s="0" t="s">
        <v>1016</v>
      </c>
      <c r="B401" s="1" t="s">
        <v>747</v>
      </c>
      <c r="C401" s="1" t="str">
        <f aca="false">IF(G401=0,E401,B401)</f>
        <v>TEC EMER APLI ENSE</v>
      </c>
      <c r="D401" s="1" t="n">
        <f aca="false">LEN(C401)</f>
        <v>18</v>
      </c>
      <c r="E401" s="1" t="s">
        <v>748</v>
      </c>
      <c r="F401" s="1" t="n">
        <f aca="false">LEN(B401)</f>
        <v>47</v>
      </c>
      <c r="G401" s="1" t="n">
        <v>0</v>
      </c>
      <c r="H401" s="0" t="n">
        <v>3</v>
      </c>
    </row>
    <row r="402" customFormat="false" ht="15" hidden="false" customHeight="false" outlineLevel="0" collapsed="false">
      <c r="A402" s="0" t="s">
        <v>1017</v>
      </c>
      <c r="B402" s="1" t="s">
        <v>751</v>
      </c>
      <c r="C402" s="1" t="str">
        <f aca="false">IF(G402=0,E402,B402)</f>
        <v>TEND ACTU EDUC PEDA</v>
      </c>
      <c r="D402" s="1" t="n">
        <f aca="false">LEN(C402)</f>
        <v>19</v>
      </c>
      <c r="E402" s="1" t="s">
        <v>752</v>
      </c>
      <c r="F402" s="1" t="n">
        <f aca="false">LEN(B402)</f>
        <v>44</v>
      </c>
      <c r="G402" s="1" t="n">
        <v>0</v>
      </c>
      <c r="H402" s="0" t="n">
        <v>3</v>
      </c>
    </row>
    <row r="403" customFormat="false" ht="15" hidden="false" customHeight="false" outlineLevel="0" collapsed="false">
      <c r="A403" s="0" t="s">
        <v>1018</v>
      </c>
      <c r="B403" s="1" t="s">
        <v>754</v>
      </c>
      <c r="C403" s="1" t="str">
        <f aca="false">IF(G403=0,E403,B403)</f>
        <v>TEND EMER INNO EDUC</v>
      </c>
      <c r="D403" s="1" t="n">
        <f aca="false">LEN(C403)</f>
        <v>19</v>
      </c>
      <c r="E403" s="1" t="s">
        <v>755</v>
      </c>
      <c r="F403" s="1" t="n">
        <f aca="false">LEN(B403)</f>
        <v>45</v>
      </c>
      <c r="G403" s="1" t="n">
        <v>0</v>
      </c>
    </row>
    <row r="404" customFormat="false" ht="15" hidden="false" customHeight="false" outlineLevel="0" collapsed="false">
      <c r="A404" s="0" t="s">
        <v>1019</v>
      </c>
      <c r="B404" s="1" t="s">
        <v>757</v>
      </c>
      <c r="C404" s="1" t="str">
        <f aca="false">IF(G404=0,E404,B404)</f>
        <v>TEND DISEÑO CURR</v>
      </c>
      <c r="D404" s="1" t="n">
        <f aca="false">LEN(C404)</f>
        <v>16</v>
      </c>
      <c r="E404" s="1" t="s">
        <v>758</v>
      </c>
      <c r="F404" s="1" t="n">
        <f aca="false">LEN(B404)</f>
        <v>31</v>
      </c>
      <c r="G404" s="1" t="n">
        <v>0</v>
      </c>
    </row>
    <row r="405" customFormat="false" ht="15" hidden="false" customHeight="false" outlineLevel="0" collapsed="false">
      <c r="A405" s="0" t="s">
        <v>1020</v>
      </c>
      <c r="B405" s="1" t="s">
        <v>760</v>
      </c>
      <c r="C405" s="1" t="str">
        <f aca="false">IF(G405=0,E405,B405)</f>
        <v>TEND TECN EDUC</v>
      </c>
      <c r="D405" s="1" t="n">
        <f aca="false">LEN(C405)</f>
        <v>14</v>
      </c>
      <c r="E405" s="1" t="s">
        <v>761</v>
      </c>
      <c r="F405" s="1" t="n">
        <f aca="false">LEN(B405)</f>
        <v>34</v>
      </c>
      <c r="G405" s="1" t="n">
        <v>0</v>
      </c>
    </row>
    <row r="406" customFormat="false" ht="15" hidden="false" customHeight="false" outlineLevel="0" collapsed="false">
      <c r="A406" s="5" t="s">
        <v>1021</v>
      </c>
      <c r="B406" s="1" t="s">
        <v>763</v>
      </c>
      <c r="C406" s="1" t="str">
        <f aca="false">IF(G406=0,E406,B406)</f>
        <v>TEORÍA NÚME RAZO MATE</v>
      </c>
      <c r="D406" s="1" t="n">
        <f aca="false">LEN(C406)</f>
        <v>21</v>
      </c>
      <c r="E406" s="1" t="s">
        <v>764</v>
      </c>
      <c r="F406" s="1" t="n">
        <f aca="false">LEN(B406)</f>
        <v>43</v>
      </c>
      <c r="G406" s="1" t="n">
        <v>0</v>
      </c>
      <c r="H406" s="6" t="n">
        <v>3</v>
      </c>
    </row>
    <row r="407" customFormat="false" ht="15" hidden="false" customHeight="false" outlineLevel="0" collapsed="false">
      <c r="A407" s="9" t="s">
        <v>1022</v>
      </c>
      <c r="B407" s="1" t="s">
        <v>1023</v>
      </c>
      <c r="C407" s="1" t="str">
        <f aca="false">IF(G407=0,E407,B407)</f>
        <v>TEORÍA GENERAL DEL CONTRATO</v>
      </c>
      <c r="D407" s="1" t="n">
        <f aca="false">LEN(C407)</f>
        <v>27</v>
      </c>
      <c r="E407" s="1"/>
      <c r="F407" s="1" t="n">
        <f aca="false">LEN(B407)</f>
        <v>27</v>
      </c>
      <c r="G407" s="1" t="n">
        <v>1</v>
      </c>
      <c r="H407" s="10" t="n">
        <v>3</v>
      </c>
    </row>
    <row r="408" customFormat="false" ht="15" hidden="false" customHeight="false" outlineLevel="0" collapsed="false">
      <c r="A408" s="9" t="s">
        <v>1024</v>
      </c>
      <c r="B408" s="1" t="s">
        <v>1025</v>
      </c>
      <c r="C408" s="1" t="str">
        <f aca="false">IF(G408=0,E408,B408)</f>
        <v>TEORÍA GENERAL DEL DERECHO</v>
      </c>
      <c r="D408" s="1" t="n">
        <f aca="false">LEN(C408)</f>
        <v>26</v>
      </c>
      <c r="E408" s="1"/>
      <c r="F408" s="1" t="n">
        <f aca="false">LEN(B408)</f>
        <v>26</v>
      </c>
      <c r="G408" s="1" t="n">
        <v>1</v>
      </c>
      <c r="H408" s="10" t="n">
        <v>3</v>
      </c>
    </row>
    <row r="409" customFormat="false" ht="15" hidden="false" customHeight="false" outlineLevel="0" collapsed="false">
      <c r="A409" s="9" t="s">
        <v>1026</v>
      </c>
      <c r="B409" s="1" t="s">
        <v>1027</v>
      </c>
      <c r="C409" s="1" t="str">
        <f aca="false">IF(G409=0,E409,B409)</f>
        <v>TEORÍA GENERAL DEL PROCESO</v>
      </c>
      <c r="D409" s="1" t="n">
        <f aca="false">LEN(C409)</f>
        <v>26</v>
      </c>
      <c r="E409" s="1"/>
      <c r="F409" s="1" t="n">
        <f aca="false">LEN(B409)</f>
        <v>26</v>
      </c>
      <c r="G409" s="1" t="n">
        <v>1</v>
      </c>
      <c r="H409" s="10" t="n">
        <v>3</v>
      </c>
    </row>
    <row r="410" customFormat="false" ht="15" hidden="false" customHeight="false" outlineLevel="0" collapsed="false">
      <c r="A410" s="0" t="s">
        <v>1028</v>
      </c>
      <c r="B410" s="1" t="s">
        <v>1029</v>
      </c>
      <c r="C410" s="1" t="str">
        <f aca="false">IF(G410=0,E410,B410)</f>
        <v>TEORÍA MONETARIA</v>
      </c>
      <c r="D410" s="1" t="n">
        <f aca="false">LEN(C410)</f>
        <v>16</v>
      </c>
      <c r="E410" s="1"/>
      <c r="F410" s="1" t="n">
        <f aca="false">LEN(B410)</f>
        <v>16</v>
      </c>
      <c r="G410" s="1" t="n">
        <v>1</v>
      </c>
      <c r="H410" s="0" t="n">
        <v>4</v>
      </c>
    </row>
    <row r="411" customFormat="false" ht="15" hidden="false" customHeight="false" outlineLevel="0" collapsed="false">
      <c r="A411" s="0" t="s">
        <v>1030</v>
      </c>
      <c r="B411" s="1" t="s">
        <v>766</v>
      </c>
      <c r="C411" s="1" t="str">
        <f aca="false">IF(G411=0,E411,B411)</f>
        <v>TEORÍA TÉCN COMU</v>
      </c>
      <c r="D411" s="1" t="n">
        <f aca="false">LEN(C411)</f>
        <v>16</v>
      </c>
      <c r="E411" s="1" t="s">
        <v>767</v>
      </c>
      <c r="F411" s="1" t="n">
        <f aca="false">LEN(B411)</f>
        <v>36</v>
      </c>
      <c r="G411" s="1" t="n">
        <v>0</v>
      </c>
    </row>
    <row r="412" customFormat="false" ht="15" hidden="false" customHeight="false" outlineLevel="0" collapsed="false">
      <c r="A412" s="0" t="s">
        <v>1031</v>
      </c>
      <c r="B412" s="1" t="s">
        <v>1032</v>
      </c>
      <c r="C412" s="1" t="str">
        <f aca="false">IF(G412=0,E412,B412)</f>
        <v>TESIS</v>
      </c>
      <c r="D412" s="1" t="n">
        <f aca="false">LEN(C412)</f>
        <v>5</v>
      </c>
      <c r="E412" s="1" t="s">
        <v>1032</v>
      </c>
      <c r="F412" s="1" t="n">
        <f aca="false">LEN(B412)</f>
        <v>5</v>
      </c>
      <c r="G412" s="1" t="n">
        <v>1</v>
      </c>
    </row>
    <row r="413" customFormat="false" ht="15" hidden="false" customHeight="false" outlineLevel="0" collapsed="false">
      <c r="A413" s="0" t="s">
        <v>1033</v>
      </c>
      <c r="B413" s="1" t="s">
        <v>1032</v>
      </c>
      <c r="C413" s="1" t="str">
        <f aca="false">IF(G413=0,E413,B413)</f>
        <v>TESIS</v>
      </c>
      <c r="D413" s="1" t="n">
        <f aca="false">LEN(C413)</f>
        <v>5</v>
      </c>
      <c r="E413" s="1" t="s">
        <v>1032</v>
      </c>
      <c r="F413" s="1" t="n">
        <f aca="false">LEN(B413)</f>
        <v>5</v>
      </c>
      <c r="G413" s="1" t="n">
        <v>1</v>
      </c>
    </row>
    <row r="414" customFormat="false" ht="15" hidden="false" customHeight="false" outlineLevel="0" collapsed="false">
      <c r="A414" s="0" t="s">
        <v>1034</v>
      </c>
      <c r="B414" s="1" t="s">
        <v>1032</v>
      </c>
      <c r="C414" s="1" t="str">
        <f aca="false">IF(G414=0,E414,B414)</f>
        <v>TESIS</v>
      </c>
      <c r="D414" s="1" t="n">
        <f aca="false">LEN(C414)</f>
        <v>5</v>
      </c>
      <c r="E414" s="1" t="s">
        <v>1032</v>
      </c>
      <c r="F414" s="1" t="n">
        <f aca="false">LEN(B414)</f>
        <v>5</v>
      </c>
      <c r="G414" s="1" t="n">
        <v>1</v>
      </c>
    </row>
    <row r="415" customFormat="false" ht="15" hidden="false" customHeight="false" outlineLevel="0" collapsed="false">
      <c r="A415" s="0" t="s">
        <v>1035</v>
      </c>
      <c r="B415" s="1" t="s">
        <v>1032</v>
      </c>
      <c r="C415" s="1" t="str">
        <f aca="false">IF(G415=0,E415,B415)</f>
        <v>TESIS</v>
      </c>
      <c r="D415" s="1" t="n">
        <f aca="false">LEN(C415)</f>
        <v>5</v>
      </c>
      <c r="E415" s="1" t="s">
        <v>1032</v>
      </c>
      <c r="F415" s="1" t="n">
        <f aca="false">LEN(B415)</f>
        <v>5</v>
      </c>
      <c r="G415" s="1" t="n">
        <v>1</v>
      </c>
    </row>
    <row r="416" customFormat="false" ht="15" hidden="false" customHeight="false" outlineLevel="0" collapsed="false">
      <c r="A416" s="0" t="s">
        <v>1036</v>
      </c>
      <c r="B416" s="1" t="s">
        <v>1032</v>
      </c>
      <c r="C416" s="1" t="str">
        <f aca="false">IF(G416=0,E416,B416)</f>
        <v>TESIS</v>
      </c>
      <c r="D416" s="1" t="n">
        <f aca="false">LEN(C416)</f>
        <v>5</v>
      </c>
      <c r="E416" s="1" t="s">
        <v>1032</v>
      </c>
      <c r="F416" s="1" t="n">
        <f aca="false">LEN(B416)</f>
        <v>5</v>
      </c>
      <c r="G416" s="1" t="n">
        <v>1</v>
      </c>
    </row>
    <row r="417" customFormat="false" ht="15" hidden="false" customHeight="false" outlineLevel="0" collapsed="false">
      <c r="A417" s="8" t="s">
        <v>1037</v>
      </c>
      <c r="B417" s="1" t="s">
        <v>1038</v>
      </c>
      <c r="C417" s="1" t="str">
        <f aca="false">IF(G417=0,E417,B417)</f>
        <v>TESIS GRADO  ESPAÑOL</v>
      </c>
      <c r="D417" s="1" t="n">
        <f aca="false">LEN(C417)</f>
        <v>20</v>
      </c>
      <c r="E417" s="1" t="s">
        <v>1038</v>
      </c>
      <c r="F417" s="1" t="n">
        <f aca="false">LEN(B417)</f>
        <v>20</v>
      </c>
      <c r="G417" s="1" t="n">
        <v>1</v>
      </c>
    </row>
    <row r="418" customFormat="false" ht="15" hidden="false" customHeight="false" outlineLevel="0" collapsed="false">
      <c r="A418" s="7" t="s">
        <v>1039</v>
      </c>
      <c r="B418" s="1" t="s">
        <v>1040</v>
      </c>
      <c r="C418" s="1" t="str">
        <f aca="false">IF(G418=0,E418,B418)</f>
        <v>TESIS GRADO  EST SOC</v>
      </c>
      <c r="D418" s="1" t="n">
        <f aca="false">LEN(C418)</f>
        <v>20</v>
      </c>
      <c r="E418" s="1" t="s">
        <v>1040</v>
      </c>
      <c r="F418" s="1" t="n">
        <f aca="false">LEN(B418)</f>
        <v>20</v>
      </c>
      <c r="G418" s="1" t="n">
        <v>1</v>
      </c>
    </row>
    <row r="419" customFormat="false" ht="15" hidden="false" customHeight="false" outlineLevel="0" collapsed="false">
      <c r="A419" s="7" t="s">
        <v>1041</v>
      </c>
      <c r="B419" s="1" t="s">
        <v>1042</v>
      </c>
      <c r="C419" s="1" t="str">
        <f aca="false">IF(G419=0,E419,B419)</f>
        <v>TESIS GRADO  PRIMARIA</v>
      </c>
      <c r="D419" s="1" t="n">
        <f aca="false">LEN(C419)</f>
        <v>21</v>
      </c>
      <c r="E419" s="1" t="s">
        <v>1042</v>
      </c>
      <c r="F419" s="1" t="n">
        <f aca="false">LEN(B419)</f>
        <v>21</v>
      </c>
      <c r="G419" s="1" t="n">
        <v>1</v>
      </c>
    </row>
    <row r="420" customFormat="false" ht="15" hidden="false" customHeight="false" outlineLevel="0" collapsed="false">
      <c r="A420" s="0" t="s">
        <v>1043</v>
      </c>
      <c r="B420" s="1" t="s">
        <v>1044</v>
      </c>
      <c r="C420" s="1" t="str">
        <f aca="false">IF(G420=0,E420,B420)</f>
        <v>TESIS GRADO CIENCIAS</v>
      </c>
      <c r="D420" s="1" t="n">
        <f aca="false">LEN(C420)</f>
        <v>20</v>
      </c>
      <c r="E420" s="1" t="s">
        <v>1044</v>
      </c>
      <c r="F420" s="1" t="n">
        <f aca="false">LEN(B420)</f>
        <v>20</v>
      </c>
      <c r="G420" s="1" t="n">
        <v>1</v>
      </c>
    </row>
    <row r="421" customFormat="false" ht="15" hidden="false" customHeight="false" outlineLevel="0" collapsed="false">
      <c r="A421" s="9" t="s">
        <v>1045</v>
      </c>
      <c r="B421" s="1" t="s">
        <v>1046</v>
      </c>
      <c r="C421" s="1" t="str">
        <f aca="false">IF(G421=0,E421,B421)</f>
        <v>TESIS GRADO DERECHO</v>
      </c>
      <c r="D421" s="1" t="n">
        <f aca="false">LEN(C421)</f>
        <v>19</v>
      </c>
      <c r="E421" s="1" t="s">
        <v>1046</v>
      </c>
      <c r="F421" s="1" t="n">
        <f aca="false">LEN(B421)</f>
        <v>19</v>
      </c>
      <c r="G421" s="1" t="n">
        <v>1</v>
      </c>
    </row>
    <row r="422" customFormat="false" ht="15" hidden="false" customHeight="false" outlineLevel="0" collapsed="false">
      <c r="A422" s="8" t="s">
        <v>1047</v>
      </c>
      <c r="B422" s="1" t="s">
        <v>1048</v>
      </c>
      <c r="C422" s="1" t="str">
        <f aca="false">IF(G422=0,E422,B422)</f>
        <v>TESIS GRADO MATEMÁTICA</v>
      </c>
      <c r="D422" s="1" t="n">
        <f aca="false">LEN(C422)</f>
        <v>22</v>
      </c>
      <c r="E422" s="1" t="s">
        <v>1048</v>
      </c>
      <c r="F422" s="1" t="n">
        <f aca="false">LEN(B422)</f>
        <v>22</v>
      </c>
      <c r="G422" s="1" t="n">
        <v>1</v>
      </c>
    </row>
    <row r="423" customFormat="false" ht="15" hidden="false" customHeight="false" outlineLevel="0" collapsed="false">
      <c r="A423" s="8" t="s">
        <v>1049</v>
      </c>
      <c r="B423" s="1" t="s">
        <v>1050</v>
      </c>
      <c r="C423" s="1" t="str">
        <f aca="false">IF(G423=0,E423,B423)</f>
        <v>TOPOLOGÍA</v>
      </c>
      <c r="D423" s="1" t="n">
        <f aca="false">LEN(C423)</f>
        <v>9</v>
      </c>
      <c r="E423" s="1" t="s">
        <v>1050</v>
      </c>
      <c r="F423" s="1" t="n">
        <f aca="false">LEN(B423)</f>
        <v>9</v>
      </c>
      <c r="G423" s="1" t="n">
        <v>1</v>
      </c>
      <c r="H423" s="6" t="n">
        <v>3</v>
      </c>
    </row>
    <row r="424" customFormat="false" ht="15" hidden="false" customHeight="false" outlineLevel="0" collapsed="false">
      <c r="A424" s="0" t="s">
        <v>1051</v>
      </c>
      <c r="B424" s="1" t="s">
        <v>1052</v>
      </c>
      <c r="C424" s="1" t="str">
        <f aca="false">IF(G424=0,E424,B424)</f>
        <v>TRABAJO FINAL DE GRADUACION</v>
      </c>
      <c r="D424" s="1" t="n">
        <f aca="false">LEN(C424)</f>
        <v>27</v>
      </c>
      <c r="E424" s="1" t="s">
        <v>1052</v>
      </c>
      <c r="F424" s="1" t="n">
        <f aca="false">LEN(B424)</f>
        <v>27</v>
      </c>
      <c r="G424" s="1" t="n">
        <v>1</v>
      </c>
    </row>
    <row r="425" customFormat="false" ht="15" hidden="false" customHeight="false" outlineLevel="0" collapsed="false">
      <c r="A425" s="0" t="s">
        <v>1053</v>
      </c>
      <c r="B425" s="1" t="s">
        <v>1054</v>
      </c>
      <c r="C425" s="1" t="str">
        <f aca="false">IF(G425=0,E425,B425)</f>
        <v>TRABAJO FINAL DE GRADUACIÓN</v>
      </c>
      <c r="D425" s="1" t="n">
        <f aca="false">LEN(C425)</f>
        <v>27</v>
      </c>
      <c r="E425" s="1" t="s">
        <v>1054</v>
      </c>
      <c r="F425" s="1" t="n">
        <f aca="false">LEN(B425)</f>
        <v>27</v>
      </c>
      <c r="G425" s="1" t="n">
        <v>1</v>
      </c>
      <c r="H425" s="0" t="n">
        <v>0</v>
      </c>
    </row>
    <row r="426" customFormat="false" ht="15" hidden="false" customHeight="false" outlineLevel="0" collapsed="false">
      <c r="A426" s="0" t="s">
        <v>1055</v>
      </c>
      <c r="B426" s="1" t="s">
        <v>1054</v>
      </c>
      <c r="C426" s="1" t="str">
        <f aca="false">IF(G426=0,E426,B426)</f>
        <v>TRABAJO FINAL DE GRADUACIÓN</v>
      </c>
      <c r="D426" s="1" t="n">
        <f aca="false">LEN(C426)</f>
        <v>27</v>
      </c>
      <c r="E426" s="1" t="s">
        <v>1054</v>
      </c>
      <c r="F426" s="1" t="n">
        <f aca="false">LEN(B426)</f>
        <v>27</v>
      </c>
      <c r="G426" s="1" t="n">
        <v>1</v>
      </c>
      <c r="H426" s="0" t="n">
        <v>0</v>
      </c>
    </row>
    <row r="427" customFormat="false" ht="15" hidden="false" customHeight="false" outlineLevel="0" collapsed="false">
      <c r="A427" s="0" t="s">
        <v>1056</v>
      </c>
      <c r="B427" s="1" t="s">
        <v>1054</v>
      </c>
      <c r="C427" s="1" t="str">
        <f aca="false">IF(G427=0,E427,B427)</f>
        <v>TRABAJO FINAL DE GRADUACIÓN</v>
      </c>
      <c r="D427" s="1" t="n">
        <f aca="false">LEN(C427)</f>
        <v>27</v>
      </c>
      <c r="E427" s="1" t="s">
        <v>1054</v>
      </c>
      <c r="F427" s="1" t="n">
        <f aca="false">LEN(B427)</f>
        <v>27</v>
      </c>
      <c r="G427" s="1" t="n">
        <v>1</v>
      </c>
      <c r="H427" s="0" t="n">
        <v>0</v>
      </c>
    </row>
    <row r="428" customFormat="false" ht="15" hidden="false" customHeight="false" outlineLevel="0" collapsed="false">
      <c r="A428" s="0" t="s">
        <v>1057</v>
      </c>
      <c r="B428" s="1" t="s">
        <v>1054</v>
      </c>
      <c r="C428" s="1" t="str">
        <f aca="false">IF(G428=0,E428,B428)</f>
        <v>TRABAJO FINAL DE GRADUACIÓN</v>
      </c>
      <c r="D428" s="1" t="n">
        <f aca="false">LEN(C428)</f>
        <v>27</v>
      </c>
      <c r="E428" s="1" t="s">
        <v>1054</v>
      </c>
      <c r="F428" s="1" t="n">
        <f aca="false">LEN(B428)</f>
        <v>27</v>
      </c>
      <c r="G428" s="1" t="n">
        <v>1</v>
      </c>
      <c r="H428" s="0" t="n">
        <v>0</v>
      </c>
    </row>
    <row r="429" customFormat="false" ht="15" hidden="false" customHeight="false" outlineLevel="0" collapsed="false">
      <c r="A429" s="0" t="s">
        <v>1058</v>
      </c>
      <c r="B429" s="1" t="s">
        <v>1054</v>
      </c>
      <c r="C429" s="1" t="str">
        <f aca="false">IF(G429=0,E429,B429)</f>
        <v>TRABAJO FINAL DE GRADUACIÓN</v>
      </c>
      <c r="D429" s="1" t="n">
        <f aca="false">LEN(C429)</f>
        <v>27</v>
      </c>
      <c r="E429" s="1" t="s">
        <v>1054</v>
      </c>
      <c r="F429" s="1" t="n">
        <f aca="false">LEN(B429)</f>
        <v>27</v>
      </c>
      <c r="G429" s="1" t="n">
        <v>1</v>
      </c>
    </row>
    <row r="430" customFormat="false" ht="15" hidden="false" customHeight="false" outlineLevel="0" collapsed="false">
      <c r="A430" s="0" t="s">
        <v>1059</v>
      </c>
      <c r="B430" s="1" t="s">
        <v>1054</v>
      </c>
      <c r="C430" s="1" t="str">
        <f aca="false">IF(G430=0,E430,B430)</f>
        <v>TRABAJO FINAL DE GRADUACIÓN</v>
      </c>
      <c r="D430" s="1" t="n">
        <f aca="false">LEN(C430)</f>
        <v>27</v>
      </c>
      <c r="E430" s="1" t="s">
        <v>1054</v>
      </c>
      <c r="F430" s="1" t="n">
        <f aca="false">LEN(B430)</f>
        <v>27</v>
      </c>
      <c r="G430" s="1" t="n">
        <v>1</v>
      </c>
    </row>
    <row r="431" customFormat="false" ht="15" hidden="false" customHeight="false" outlineLevel="0" collapsed="false">
      <c r="A431" s="0" t="s">
        <v>1060</v>
      </c>
      <c r="B431" s="1" t="s">
        <v>1054</v>
      </c>
      <c r="C431" s="1" t="str">
        <f aca="false">IF(G431=0,E431,B431)</f>
        <v>TRABAJO FINAL DE GRADUACIÓN</v>
      </c>
      <c r="D431" s="1" t="n">
        <f aca="false">LEN(C431)</f>
        <v>27</v>
      </c>
      <c r="E431" s="1" t="s">
        <v>1054</v>
      </c>
      <c r="F431" s="1" t="n">
        <f aca="false">LEN(B431)</f>
        <v>27</v>
      </c>
      <c r="G431" s="1" t="n">
        <v>1</v>
      </c>
    </row>
    <row r="432" customFormat="false" ht="15" hidden="false" customHeight="false" outlineLevel="0" collapsed="false">
      <c r="A432" s="0" t="s">
        <v>1061</v>
      </c>
      <c r="B432" s="1" t="s">
        <v>1054</v>
      </c>
      <c r="C432" s="1" t="str">
        <f aca="false">IF(G432=0,E432,B432)</f>
        <v>TRABAJO FINAL DE GRADUACIÓN</v>
      </c>
      <c r="D432" s="1" t="n">
        <f aca="false">LEN(C432)</f>
        <v>27</v>
      </c>
      <c r="E432" s="1" t="s">
        <v>1054</v>
      </c>
      <c r="F432" s="1" t="n">
        <f aca="false">LEN(B432)</f>
        <v>27</v>
      </c>
      <c r="G432" s="1" t="n">
        <v>1</v>
      </c>
    </row>
    <row r="433" customFormat="false" ht="15" hidden="false" customHeight="false" outlineLevel="0" collapsed="false">
      <c r="A433" s="0" t="s">
        <v>1062</v>
      </c>
      <c r="B433" s="1" t="s">
        <v>1054</v>
      </c>
      <c r="C433" s="1" t="str">
        <f aca="false">IF(G433=0,E433,B433)</f>
        <v>TRABAJO FINAL DE GRADUACIÓN</v>
      </c>
      <c r="D433" s="1" t="n">
        <f aca="false">LEN(C433)</f>
        <v>27</v>
      </c>
      <c r="E433" s="1" t="s">
        <v>1054</v>
      </c>
      <c r="F433" s="1" t="n">
        <f aca="false">LEN(B433)</f>
        <v>27</v>
      </c>
      <c r="G433" s="1" t="n">
        <v>1</v>
      </c>
    </row>
    <row r="434" customFormat="false" ht="15" hidden="false" customHeight="false" outlineLevel="0" collapsed="false">
      <c r="A434" s="0" t="s">
        <v>1063</v>
      </c>
      <c r="B434" s="1" t="s">
        <v>1054</v>
      </c>
      <c r="C434" s="1" t="str">
        <f aca="false">IF(G434=0,E434,B434)</f>
        <v>TRABAJO FINAL DE GRADUACIÓN</v>
      </c>
      <c r="D434" s="1" t="n">
        <f aca="false">LEN(C434)</f>
        <v>27</v>
      </c>
      <c r="E434" s="1" t="s">
        <v>1054</v>
      </c>
      <c r="F434" s="1" t="n">
        <f aca="false">LEN(B434)</f>
        <v>27</v>
      </c>
      <c r="G434" s="1" t="n">
        <v>1</v>
      </c>
    </row>
    <row r="435" customFormat="false" ht="15" hidden="false" customHeight="false" outlineLevel="0" collapsed="false">
      <c r="A435" s="0" t="s">
        <v>1064</v>
      </c>
      <c r="B435" s="1" t="s">
        <v>1054</v>
      </c>
      <c r="C435" s="1" t="str">
        <f aca="false">IF(G435=0,E435,B435)</f>
        <v>TRABAJO FINAL DE GRADUACIÓN</v>
      </c>
      <c r="D435" s="1" t="n">
        <f aca="false">LEN(C435)</f>
        <v>27</v>
      </c>
      <c r="E435" s="1" t="s">
        <v>1054</v>
      </c>
      <c r="F435" s="1" t="n">
        <f aca="false">LEN(B435)</f>
        <v>27</v>
      </c>
      <c r="G435" s="1" t="n">
        <v>1</v>
      </c>
    </row>
    <row r="436" customFormat="false" ht="15" hidden="false" customHeight="false" outlineLevel="0" collapsed="false">
      <c r="A436" s="0" t="s">
        <v>1065</v>
      </c>
      <c r="B436" s="1" t="s">
        <v>1054</v>
      </c>
      <c r="C436" s="1" t="str">
        <f aca="false">IF(G436=0,E436,B436)</f>
        <v>TRABAJO FINAL DE GRADUACIÓN</v>
      </c>
      <c r="D436" s="1" t="n">
        <f aca="false">LEN(C436)</f>
        <v>27</v>
      </c>
      <c r="E436" s="1" t="s">
        <v>1054</v>
      </c>
      <c r="F436" s="1" t="n">
        <f aca="false">LEN(B436)</f>
        <v>27</v>
      </c>
      <c r="G436" s="1" t="n">
        <v>1</v>
      </c>
    </row>
    <row r="437" customFormat="false" ht="15" hidden="false" customHeight="false" outlineLevel="0" collapsed="false">
      <c r="A437" s="2" t="s">
        <v>1066</v>
      </c>
      <c r="B437" s="1" t="s">
        <v>769</v>
      </c>
      <c r="C437" s="1" t="str">
        <f aca="false">IF(G437=0,E437,B437)</f>
        <v>TRAN DIST LOG</v>
      </c>
      <c r="D437" s="1" t="n">
        <f aca="false">LEN(C437)</f>
        <v>13</v>
      </c>
      <c r="E437" s="1" t="s">
        <v>770</v>
      </c>
      <c r="F437" s="1" t="n">
        <f aca="false">LEN(B437)</f>
        <v>35</v>
      </c>
      <c r="G437" s="1" t="n">
        <v>0</v>
      </c>
    </row>
    <row r="438" customFormat="false" ht="15" hidden="false" customHeight="false" outlineLevel="0" collapsed="false">
      <c r="A438" s="4" t="s">
        <v>1067</v>
      </c>
      <c r="B438" s="1" t="s">
        <v>1068</v>
      </c>
      <c r="C438" s="1" t="str">
        <f aca="false">IF(G438=0,E438,B438)</f>
        <v>TRANSPORTE DISTRI LOGÍS</v>
      </c>
      <c r="D438" s="1" t="n">
        <f aca="false">LEN(C438)</f>
        <v>23</v>
      </c>
      <c r="E438" s="1" t="s">
        <v>1069</v>
      </c>
      <c r="F438" s="1" t="n">
        <f aca="false">LEN(B438)</f>
        <v>36</v>
      </c>
      <c r="G438" s="1" t="n">
        <v>0</v>
      </c>
    </row>
    <row r="439" customFormat="false" ht="15" hidden="false" customHeight="false" outlineLevel="0" collapsed="false">
      <c r="A439" s="0" t="s">
        <v>1070</v>
      </c>
      <c r="B439" s="1" t="s">
        <v>774</v>
      </c>
      <c r="C439" s="1" t="str">
        <f aca="false">IF(G439=0,E439,B439)</f>
        <v>VOCA COMPRO PROFE EDU (RAC)</v>
      </c>
      <c r="D439" s="1" t="n">
        <f aca="false">LEN(C439)</f>
        <v>27</v>
      </c>
      <c r="E439" s="1" t="s">
        <v>1071</v>
      </c>
      <c r="F439" s="1" t="n">
        <f aca="false">LEN(B439)</f>
        <v>56</v>
      </c>
      <c r="G439" s="1" t="n">
        <v>0</v>
      </c>
      <c r="H439" s="0" t="n">
        <v>3</v>
      </c>
    </row>
  </sheetData>
  <autoFilter ref="A1:H439"/>
  <conditionalFormatting sqref="A120:A169">
    <cfRule type="duplicateValues" priority="2" aboveAverage="0" equalAverage="0" bottom="0" percent="0" rank="0" text="" dxfId="11"/>
  </conditionalFormatting>
  <conditionalFormatting sqref="A385:A1048576 A1:A309 A314:A368">
    <cfRule type="duplicateValues" priority="3" aboveAverage="0" equalAverage="0" bottom="0" percent="0" rank="0" text="" dxfId="12"/>
  </conditionalFormatting>
  <conditionalFormatting sqref="A385:A1048576 A314:A368 A309 A1:A119">
    <cfRule type="duplicateValues" priority="4" aboveAverage="0" equalAverage="0" bottom="0" percent="0" rank="0" text="" dxfId="13"/>
  </conditionalFormatting>
  <conditionalFormatting sqref="A385:A1048576 A314:A368 A309 A1:A169">
    <cfRule type="duplicateValues" priority="5" aboveAverage="0" equalAverage="0" bottom="0" percent="0" rank="0" text="" dxfId="14"/>
  </conditionalFormatting>
  <conditionalFormatting sqref="A385:A1048576 A314:A368 A309 A1:A192">
    <cfRule type="duplicateValues" priority="6" aboveAverage="0" equalAverage="0" bottom="0" percent="0" rank="0" text="" dxfId="15"/>
  </conditionalFormatting>
  <conditionalFormatting sqref="A385:A1048576 A314:A368 A309 A1:A201">
    <cfRule type="duplicateValues" priority="7" aboveAverage="0" equalAverage="0" bottom="0" percent="0" rank="0" text="" dxfId="16"/>
  </conditionalFormatting>
  <conditionalFormatting sqref="A385:A1048576 A314:A368 A309 A1:A217">
    <cfRule type="duplicateValues" priority="8" aboveAverage="0" equalAverage="0" bottom="0" percent="0" rank="0" text="" dxfId="17"/>
  </conditionalFormatting>
  <conditionalFormatting sqref="A385:A1048576 A314:A368 A309 A1:A226">
    <cfRule type="duplicateValues" priority="9" aboveAverage="0" equalAverage="0" bottom="0" percent="0" rank="0" text="" dxfId="18"/>
  </conditionalFormatting>
  <conditionalFormatting sqref="A385:A1048576 A314:A368 A309 A1:A247">
    <cfRule type="duplicateValues" priority="10" aboveAverage="0" equalAverage="0" bottom="0" percent="0" rank="0" text="" dxfId="19"/>
  </conditionalFormatting>
  <conditionalFormatting sqref="A385:A1048576 A314:A368 A309 A1:A269">
    <cfRule type="duplicateValues" priority="11" aboveAverage="0" equalAverage="0" bottom="0" percent="0" rank="0" text="" dxfId="20"/>
  </conditionalFormatting>
  <conditionalFormatting sqref="A385:A1048576 A314:A368 A309 A1:A278">
    <cfRule type="duplicateValues" priority="12" aboveAverage="0" equalAverage="0" bottom="0" percent="0" rank="0" text="" dxfId="21"/>
  </conditionalFormatting>
  <conditionalFormatting sqref="A385:A1048576 A314:A368 A309 A1:A299">
    <cfRule type="duplicateValues" priority="13" aboveAverage="0" equalAverage="0" bottom="0" percent="0" rank="0" text="" dxfId="22"/>
  </conditionalFormatting>
  <conditionalFormatting sqref="A385:A1048576 A314:A368 A309">
    <cfRule type="duplicateValues" priority="14" aboveAverage="0" equalAverage="0" bottom="0" percent="0" rank="0" text="" dxfId="23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966"/>
  <sheetViews>
    <sheetView showFormulas="false" showGridLines="true" showRowColHeaders="true" showZeros="true" rightToLeft="false" tabSelected="true" showOutlineSymbols="true" defaultGridColor="true" view="normal" topLeftCell="A1" colorId="64" zoomScale="76" zoomScaleNormal="76" zoomScalePageLayoutView="100" workbookViewId="0">
      <selection pane="topLeft" activeCell="D2" activeCellId="0" sqref="D2"/>
    </sheetView>
  </sheetViews>
  <sheetFormatPr defaultColWidth="9.15234375" defaultRowHeight="13.8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17.63"/>
    <col collapsed="false" customWidth="true" hidden="false" outlineLevel="0" max="3" min="3" style="0" width="40.99"/>
    <col collapsed="false" customWidth="true" hidden="false" outlineLevel="0" max="4" min="4" style="0" width="13.2"/>
    <col collapsed="false" customWidth="true" hidden="false" outlineLevel="0" max="6" min="6" style="0" width="38.96"/>
  </cols>
  <sheetData>
    <row r="1" customFormat="false" ht="13.8" hidden="false" customHeight="false" outlineLevel="0" collapsed="false">
      <c r="A1" s="41" t="s">
        <v>1072</v>
      </c>
      <c r="B1" s="42" t="s">
        <v>1073</v>
      </c>
    </row>
    <row r="2" customFormat="false" ht="14.65" hidden="false" customHeight="false" outlineLevel="0" collapsed="false">
      <c r="A2" s="43" t="s">
        <v>1074</v>
      </c>
      <c r="B2" s="44" t="s">
        <v>1075</v>
      </c>
      <c r="C2" s="45" t="s">
        <v>1076</v>
      </c>
      <c r="F2" s="0" t="str">
        <f aca="false">_xlfn.CONCAT(G2,H2)</f>
        <v>HSHM0001ANATOMIA MORFOLOGICA GENERAL</v>
      </c>
      <c r="G2" s="0" t="s">
        <v>1077</v>
      </c>
      <c r="H2" s="0" t="s">
        <v>1076</v>
      </c>
    </row>
    <row r="3" customFormat="false" ht="14.65" hidden="false" customHeight="false" outlineLevel="0" collapsed="false">
      <c r="A3" s="43" t="s">
        <v>1074</v>
      </c>
      <c r="B3" s="44" t="s">
        <v>1078</v>
      </c>
      <c r="C3" s="45" t="s">
        <v>1079</v>
      </c>
      <c r="F3" s="0" t="str">
        <f aca="false">_xlfn.CONCAT(G3,H3)</f>
        <v>HSHM0002BIOLOGIA GENERAL</v>
      </c>
      <c r="G3" s="0" t="s">
        <v>1080</v>
      </c>
      <c r="H3" s="0" t="s">
        <v>1079</v>
      </c>
    </row>
    <row r="4" customFormat="false" ht="14.65" hidden="false" customHeight="false" outlineLevel="0" collapsed="false">
      <c r="A4" s="43" t="s">
        <v>1074</v>
      </c>
      <c r="B4" s="44" t="s">
        <v>1081</v>
      </c>
      <c r="C4" s="45" t="s">
        <v>1082</v>
      </c>
      <c r="F4" s="0" t="str">
        <f aca="false">_xlfn.CONCAT(G4,H4)</f>
        <v>HSHM0003REHABI Y HABILITACION INTEGRAL</v>
      </c>
      <c r="G4" s="0" t="s">
        <v>1083</v>
      </c>
      <c r="H4" s="0" t="s">
        <v>1082</v>
      </c>
    </row>
    <row r="5" customFormat="false" ht="14.65" hidden="false" customHeight="false" outlineLevel="0" collapsed="false">
      <c r="A5" s="43" t="s">
        <v>1074</v>
      </c>
      <c r="B5" s="44" t="s">
        <v>1084</v>
      </c>
      <c r="C5" s="45" t="s">
        <v>1085</v>
      </c>
      <c r="F5" s="0" t="str">
        <f aca="false">_xlfn.CONCAT(G5,H5)</f>
        <v>HSHM0005BIOFISICA</v>
      </c>
      <c r="G5" s="0" t="s">
        <v>1086</v>
      </c>
      <c r="H5" s="0" t="s">
        <v>1085</v>
      </c>
    </row>
    <row r="6" customFormat="false" ht="14.65" hidden="false" customHeight="false" outlineLevel="0" collapsed="false">
      <c r="A6" s="43" t="s">
        <v>1074</v>
      </c>
      <c r="B6" s="44" t="s">
        <v>1087</v>
      </c>
      <c r="C6" s="45" t="s">
        <v>1088</v>
      </c>
      <c r="F6" s="0" t="str">
        <f aca="false">_xlfn.CONCAT(G6,H6)</f>
        <v>HSHM0006NEUROANATOMIA</v>
      </c>
      <c r="G6" s="0" t="s">
        <v>1089</v>
      </c>
      <c r="H6" s="0" t="s">
        <v>1088</v>
      </c>
    </row>
    <row r="7" customFormat="false" ht="14.65" hidden="false" customHeight="false" outlineLevel="0" collapsed="false">
      <c r="A7" s="43" t="s">
        <v>1074</v>
      </c>
      <c r="B7" s="44" t="s">
        <v>1090</v>
      </c>
      <c r="C7" s="45" t="s">
        <v>1091</v>
      </c>
      <c r="F7" s="0" t="str">
        <f aca="false">_xlfn.CONCAT(G7,H7)</f>
        <v>HSHM0007FISIOLOGIA HUMANA</v>
      </c>
      <c r="G7" s="0" t="s">
        <v>1092</v>
      </c>
      <c r="H7" s="0" t="s">
        <v>1091</v>
      </c>
    </row>
    <row r="8" customFormat="false" ht="14.65" hidden="false" customHeight="false" outlineLevel="0" collapsed="false">
      <c r="A8" s="43" t="s">
        <v>1074</v>
      </c>
      <c r="B8" s="44" t="s">
        <v>1093</v>
      </c>
      <c r="C8" s="45" t="s">
        <v>1094</v>
      </c>
      <c r="F8" s="0" t="str">
        <f aca="false">_xlfn.CONCAT(G8,H8)</f>
        <v>HSHM0008PSICOLOGIA GENERAL</v>
      </c>
      <c r="G8" s="0" t="s">
        <v>1095</v>
      </c>
      <c r="H8" s="0" t="s">
        <v>1094</v>
      </c>
    </row>
    <row r="9" customFormat="false" ht="14.65" hidden="false" customHeight="false" outlineLevel="0" collapsed="false">
      <c r="A9" s="43" t="s">
        <v>1074</v>
      </c>
      <c r="B9" s="44" t="s">
        <v>1096</v>
      </c>
      <c r="C9" s="45" t="s">
        <v>1097</v>
      </c>
      <c r="F9" s="0" t="str">
        <f aca="false">_xlfn.CONCAT(G9,H9)</f>
        <v>HSHM0009PRINCIPIOS DE MEDICINA GENERAL</v>
      </c>
      <c r="G9" s="0" t="s">
        <v>1098</v>
      </c>
      <c r="H9" s="0" t="s">
        <v>1097</v>
      </c>
    </row>
    <row r="10" customFormat="false" ht="14.65" hidden="false" customHeight="false" outlineLevel="0" collapsed="false">
      <c r="A10" s="43" t="s">
        <v>1074</v>
      </c>
      <c r="B10" s="44" t="s">
        <v>1099</v>
      </c>
      <c r="C10" s="45" t="s">
        <v>1100</v>
      </c>
      <c r="F10" s="0" t="str">
        <f aca="false">_xlfn.CONCAT(G10,H10)</f>
        <v>HSHM0010ENFERMERÍA EN REHABILITACION</v>
      </c>
      <c r="G10" s="0" t="s">
        <v>1101</v>
      </c>
      <c r="H10" s="0" t="s">
        <v>1100</v>
      </c>
    </row>
    <row r="11" customFormat="false" ht="14.65" hidden="false" customHeight="false" outlineLevel="0" collapsed="false">
      <c r="A11" s="43" t="s">
        <v>1074</v>
      </c>
      <c r="B11" s="44" t="s">
        <v>1102</v>
      </c>
      <c r="C11" s="45" t="s">
        <v>1103</v>
      </c>
      <c r="F11" s="0" t="str">
        <f aca="false">_xlfn.CONCAT(G11,H11)</f>
        <v>HSHM0011NEUROFISIOLOGIA</v>
      </c>
      <c r="G11" s="0" t="s">
        <v>1104</v>
      </c>
      <c r="H11" s="0" t="s">
        <v>1103</v>
      </c>
    </row>
    <row r="12" customFormat="false" ht="14.65" hidden="false" customHeight="false" outlineLevel="0" collapsed="false">
      <c r="A12" s="43" t="s">
        <v>1074</v>
      </c>
      <c r="B12" s="44" t="s">
        <v>1105</v>
      </c>
      <c r="C12" s="45" t="s">
        <v>1106</v>
      </c>
      <c r="F12" s="0" t="str">
        <f aca="false">_xlfn.CONCAT(G12,H12)</f>
        <v>HSHM0012ANATOMIA ESTRUCTURAL Y FUNCION</v>
      </c>
      <c r="G12" s="0" t="s">
        <v>1107</v>
      </c>
      <c r="H12" s="0" t="s">
        <v>1106</v>
      </c>
    </row>
    <row r="13" customFormat="false" ht="14.65" hidden="false" customHeight="false" outlineLevel="0" collapsed="false">
      <c r="A13" s="43" t="s">
        <v>1074</v>
      </c>
      <c r="B13" s="44" t="s">
        <v>1108</v>
      </c>
      <c r="C13" s="45" t="s">
        <v>1109</v>
      </c>
      <c r="F13" s="0" t="str">
        <f aca="false">_xlfn.CONCAT(G13,H13)</f>
        <v>HSHM0013PATOLOGIA MEDICA I</v>
      </c>
      <c r="G13" s="0" t="s">
        <v>1110</v>
      </c>
      <c r="H13" s="0" t="s">
        <v>1109</v>
      </c>
    </row>
    <row r="14" customFormat="false" ht="14.65" hidden="false" customHeight="false" outlineLevel="0" collapsed="false">
      <c r="A14" s="43" t="s">
        <v>1074</v>
      </c>
      <c r="B14" s="44" t="s">
        <v>1111</v>
      </c>
      <c r="C14" s="45" t="s">
        <v>1112</v>
      </c>
      <c r="F14" s="0" t="str">
        <f aca="false">_xlfn.CONCAT(G14,H14)</f>
        <v>HSHM0014PSICOLOGIA DE LA REHAB APLICAD</v>
      </c>
      <c r="G14" s="0" t="s">
        <v>1113</v>
      </c>
      <c r="H14" s="0" t="s">
        <v>1112</v>
      </c>
    </row>
    <row r="15" customFormat="false" ht="14.65" hidden="false" customHeight="false" outlineLevel="0" collapsed="false">
      <c r="A15" s="43" t="s">
        <v>1074</v>
      </c>
      <c r="B15" s="44" t="s">
        <v>1114</v>
      </c>
      <c r="C15" s="45" t="s">
        <v>1115</v>
      </c>
      <c r="F15" s="0" t="str">
        <f aca="false">_xlfn.CONCAT(G15,H15)</f>
        <v>HSHM0015RECREACION, JUEGO Y PREDEPORTE</v>
      </c>
      <c r="G15" s="0" t="s">
        <v>1116</v>
      </c>
      <c r="H15" s="0" t="s">
        <v>1115</v>
      </c>
    </row>
    <row r="16" customFormat="false" ht="14.65" hidden="false" customHeight="false" outlineLevel="0" collapsed="false">
      <c r="A16" s="43" t="s">
        <v>1074</v>
      </c>
      <c r="B16" s="44" t="s">
        <v>1117</v>
      </c>
      <c r="C16" s="45" t="s">
        <v>1118</v>
      </c>
      <c r="F16" s="0" t="str">
        <f aca="false">_xlfn.CONCAT(G16,H16)</f>
        <v>HSHM0016TRAUMATOLOGIA Y ORTOPEDIA</v>
      </c>
      <c r="G16" s="0" t="s">
        <v>1119</v>
      </c>
      <c r="H16" s="0" t="s">
        <v>1118</v>
      </c>
    </row>
    <row r="17" customFormat="false" ht="14.65" hidden="false" customHeight="false" outlineLevel="0" collapsed="false">
      <c r="A17" s="43" t="s">
        <v>1074</v>
      </c>
      <c r="B17" s="44" t="s">
        <v>1120</v>
      </c>
      <c r="C17" s="45" t="s">
        <v>1121</v>
      </c>
      <c r="F17" s="0" t="str">
        <f aca="false">_xlfn.CONCAT(G17,H17)</f>
        <v>HSHM0017PATOLOGIA MEDICA II</v>
      </c>
      <c r="G17" s="0" t="s">
        <v>1122</v>
      </c>
      <c r="H17" s="0" t="s">
        <v>1121</v>
      </c>
    </row>
    <row r="18" customFormat="false" ht="14.65" hidden="false" customHeight="false" outlineLevel="0" collapsed="false">
      <c r="A18" s="43" t="s">
        <v>1074</v>
      </c>
      <c r="B18" s="44" t="s">
        <v>1123</v>
      </c>
      <c r="C18" s="45" t="s">
        <v>1124</v>
      </c>
      <c r="F18" s="0" t="str">
        <f aca="false">_xlfn.CONCAT(G18,H18)</f>
        <v>HSHM0018FISIOLOGIA DEL EJERCICIO</v>
      </c>
      <c r="G18" s="0" t="s">
        <v>1125</v>
      </c>
      <c r="H18" s="0" t="s">
        <v>1124</v>
      </c>
    </row>
    <row r="19" customFormat="false" ht="14.65" hidden="false" customHeight="false" outlineLevel="0" collapsed="false">
      <c r="A19" s="43" t="s">
        <v>1074</v>
      </c>
      <c r="B19" s="44" t="s">
        <v>1126</v>
      </c>
      <c r="C19" s="45" t="s">
        <v>1127</v>
      </c>
      <c r="F19" s="0" t="str">
        <f aca="false">_xlfn.CONCAT(G19,H19)</f>
        <v>HSHM0019COMUNICACION SOCIAL EN SALUD</v>
      </c>
      <c r="G19" s="0" t="s">
        <v>1128</v>
      </c>
      <c r="H19" s="0" t="s">
        <v>1127</v>
      </c>
    </row>
    <row r="20" customFormat="false" ht="14.65" hidden="false" customHeight="false" outlineLevel="0" collapsed="false">
      <c r="A20" s="43" t="s">
        <v>1074</v>
      </c>
      <c r="B20" s="44" t="s">
        <v>1129</v>
      </c>
      <c r="C20" s="45" t="s">
        <v>1130</v>
      </c>
      <c r="F20" s="0" t="str">
        <f aca="false">_xlfn.CONCAT(G20,H20)</f>
        <v>HSHM0021METODOS DE INVESTIGACION</v>
      </c>
      <c r="G20" s="0" t="s">
        <v>1131</v>
      </c>
      <c r="H20" s="0" t="s">
        <v>1130</v>
      </c>
    </row>
    <row r="21" customFormat="false" ht="14.65" hidden="false" customHeight="false" outlineLevel="0" collapsed="false">
      <c r="A21" s="43" t="s">
        <v>1074</v>
      </c>
      <c r="B21" s="44" t="s">
        <v>1132</v>
      </c>
      <c r="C21" s="45" t="s">
        <v>1133</v>
      </c>
      <c r="F21" s="0" t="str">
        <f aca="false">_xlfn.CONCAT(G21,H21)</f>
        <v>HSHM0022PATOLOGIA MEDICA III</v>
      </c>
      <c r="G21" s="0" t="s">
        <v>1134</v>
      </c>
      <c r="H21" s="0" t="s">
        <v>1133</v>
      </c>
    </row>
    <row r="22" customFormat="false" ht="14.65" hidden="false" customHeight="false" outlineLevel="0" collapsed="false">
      <c r="A22" s="43" t="s">
        <v>1074</v>
      </c>
      <c r="B22" s="44" t="s">
        <v>1135</v>
      </c>
      <c r="C22" s="45" t="s">
        <v>1136</v>
      </c>
      <c r="F22" s="0" t="str">
        <f aca="false">_xlfn.CONCAT(G22,H22)</f>
        <v>HSHM0023KINESIOLOGIA Y BIOMECANICA</v>
      </c>
      <c r="G22" s="0" t="s">
        <v>1137</v>
      </c>
      <c r="H22" s="0" t="s">
        <v>1136</v>
      </c>
    </row>
    <row r="23" customFormat="false" ht="14.65" hidden="false" customHeight="false" outlineLevel="0" collapsed="false">
      <c r="A23" s="43" t="s">
        <v>1074</v>
      </c>
      <c r="B23" s="44" t="s">
        <v>1138</v>
      </c>
      <c r="C23" s="45" t="s">
        <v>1139</v>
      </c>
      <c r="F23" s="0" t="str">
        <f aca="false">_xlfn.CONCAT(G23,H23)</f>
        <v>HSHM0025PSIQUIATRIA</v>
      </c>
      <c r="G23" s="0" t="s">
        <v>1140</v>
      </c>
      <c r="H23" s="0" t="s">
        <v>1139</v>
      </c>
    </row>
    <row r="24" customFormat="false" ht="14.65" hidden="false" customHeight="false" outlineLevel="0" collapsed="false">
      <c r="A24" s="43" t="s">
        <v>1074</v>
      </c>
      <c r="B24" s="44" t="s">
        <v>1141</v>
      </c>
      <c r="C24" s="45" t="s">
        <v>1142</v>
      </c>
      <c r="F24" s="0" t="str">
        <f aca="false">_xlfn.CONCAT(G24,H24)</f>
        <v>HSHM0029AYUDAS BIOMECANICAS</v>
      </c>
      <c r="G24" s="0" t="s">
        <v>1143</v>
      </c>
      <c r="H24" s="0" t="s">
        <v>1142</v>
      </c>
    </row>
    <row r="25" customFormat="false" ht="14.65" hidden="false" customHeight="false" outlineLevel="0" collapsed="false">
      <c r="A25" s="43" t="s">
        <v>1074</v>
      </c>
      <c r="B25" s="44" t="s">
        <v>1144</v>
      </c>
      <c r="C25" s="45" t="s">
        <v>1145</v>
      </c>
      <c r="F25" s="0" t="str">
        <f aca="false">_xlfn.CONCAT(G25,H25)</f>
        <v>HSHM0026TECNICAS MANUALES</v>
      </c>
      <c r="G25" s="0" t="s">
        <v>1146</v>
      </c>
      <c r="H25" s="0" t="s">
        <v>1145</v>
      </c>
    </row>
    <row r="26" customFormat="false" ht="14.65" hidden="false" customHeight="false" outlineLevel="0" collapsed="false">
      <c r="A26" s="43" t="s">
        <v>1074</v>
      </c>
      <c r="B26" s="44" t="s">
        <v>1147</v>
      </c>
      <c r="C26" s="45" t="s">
        <v>1148</v>
      </c>
      <c r="F26" s="0" t="str">
        <f aca="false">_xlfn.CONCAT(G26,H26)</f>
        <v>HSHM0027EPIDEMIOLOGIA Y SALUD PUBLICA</v>
      </c>
      <c r="G26" s="0" t="s">
        <v>1149</v>
      </c>
      <c r="H26" s="0" t="s">
        <v>1148</v>
      </c>
    </row>
    <row r="27" customFormat="false" ht="14.65" hidden="false" customHeight="false" outlineLevel="0" collapsed="false">
      <c r="A27" s="43" t="s">
        <v>1074</v>
      </c>
      <c r="B27" s="44" t="s">
        <v>1150</v>
      </c>
      <c r="C27" s="45" t="s">
        <v>1151</v>
      </c>
      <c r="F27" s="0" t="str">
        <f aca="false">_xlfn.CONCAT(G27,H27)</f>
        <v>HSHM0030PARTIC PERS DISCAP MERC LABOR</v>
      </c>
      <c r="G27" s="0" t="s">
        <v>1152</v>
      </c>
      <c r="H27" s="0" t="s">
        <v>1151</v>
      </c>
    </row>
    <row r="28" customFormat="false" ht="14.65" hidden="false" customHeight="false" outlineLevel="0" collapsed="false">
      <c r="A28" s="43" t="s">
        <v>1074</v>
      </c>
      <c r="B28" s="44" t="s">
        <v>1153</v>
      </c>
      <c r="C28" s="45" t="s">
        <v>1154</v>
      </c>
      <c r="F28" s="0" t="str">
        <f aca="false">_xlfn.CONCAT(G28,H28)</f>
        <v>HSHM0028PRACTICA EN LA COMUNIDAD I</v>
      </c>
      <c r="G28" s="0" t="s">
        <v>1155</v>
      </c>
      <c r="H28" s="0" t="s">
        <v>1154</v>
      </c>
    </row>
    <row r="29" customFormat="false" ht="14.65" hidden="false" customHeight="false" outlineLevel="0" collapsed="false">
      <c r="A29" s="43" t="s">
        <v>1074</v>
      </c>
      <c r="B29" s="44" t="s">
        <v>1156</v>
      </c>
      <c r="C29" s="45" t="s">
        <v>1157</v>
      </c>
      <c r="F29" s="0" t="str">
        <f aca="false">_xlfn.CONCAT(G29,H29)</f>
        <v>HSHM0031AGENTES FISICOS</v>
      </c>
      <c r="G29" s="0" t="s">
        <v>1158</v>
      </c>
      <c r="H29" s="0" t="s">
        <v>1157</v>
      </c>
    </row>
    <row r="30" customFormat="false" ht="14.65" hidden="false" customHeight="false" outlineLevel="0" collapsed="false">
      <c r="A30" s="43" t="s">
        <v>1074</v>
      </c>
      <c r="B30" s="44" t="s">
        <v>1159</v>
      </c>
      <c r="C30" s="45" t="s">
        <v>1160</v>
      </c>
      <c r="F30" s="0" t="str">
        <f aca="false">_xlfn.CONCAT(G30,H30)</f>
        <v>HSHM0032ELECTROTERAPIA</v>
      </c>
      <c r="G30" s="0" t="s">
        <v>1161</v>
      </c>
      <c r="H30" s="0" t="s">
        <v>1160</v>
      </c>
    </row>
    <row r="31" customFormat="false" ht="14.65" hidden="false" customHeight="false" outlineLevel="0" collapsed="false">
      <c r="A31" s="43" t="s">
        <v>1074</v>
      </c>
      <c r="B31" s="44" t="s">
        <v>1162</v>
      </c>
      <c r="C31" s="45" t="s">
        <v>1163</v>
      </c>
      <c r="F31" s="0" t="str">
        <f aca="false">_xlfn.CONCAT(G31,H31)</f>
        <v>HSHM0004NEURODESARROLLO NORMAL Y PATOL</v>
      </c>
      <c r="G31" s="0" t="s">
        <v>1164</v>
      </c>
      <c r="H31" s="0" t="s">
        <v>1163</v>
      </c>
    </row>
    <row r="32" customFormat="false" ht="14.65" hidden="false" customHeight="false" outlineLevel="0" collapsed="false">
      <c r="A32" s="43" t="s">
        <v>1074</v>
      </c>
      <c r="B32" s="44" t="s">
        <v>1165</v>
      </c>
      <c r="C32" s="45" t="s">
        <v>1166</v>
      </c>
      <c r="F32" s="0" t="str">
        <f aca="false">_xlfn.CONCAT(G32,H32)</f>
        <v>HSHM0020HABIL ADAP VIDA DIA R PERS DIS</v>
      </c>
      <c r="G32" s="0" t="s">
        <v>1167</v>
      </c>
      <c r="H32" s="0" t="s">
        <v>1166</v>
      </c>
    </row>
    <row r="33" customFormat="false" ht="14.65" hidden="false" customHeight="false" outlineLevel="0" collapsed="false">
      <c r="A33" s="43" t="s">
        <v>1074</v>
      </c>
      <c r="B33" s="44" t="s">
        <v>1168</v>
      </c>
      <c r="C33" s="45" t="s">
        <v>1169</v>
      </c>
      <c r="F33" s="0" t="str">
        <f aca="false">_xlfn.CONCAT(G33,H33)</f>
        <v>HSHM0024PRACTICA COMUNITARIA II</v>
      </c>
      <c r="G33" s="0" t="s">
        <v>1170</v>
      </c>
      <c r="H33" s="0" t="s">
        <v>1169</v>
      </c>
    </row>
    <row r="34" customFormat="false" ht="14.65" hidden="false" customHeight="false" outlineLevel="0" collapsed="false">
      <c r="A34" s="43" t="s">
        <v>1171</v>
      </c>
      <c r="B34" s="44" t="s">
        <v>1172</v>
      </c>
      <c r="C34" s="45" t="s">
        <v>1173</v>
      </c>
      <c r="F34" s="0" t="str">
        <f aca="false">_xlfn.CONCAT(G34,H34)</f>
        <v>CCCO0099MARCA PERSONAL</v>
      </c>
      <c r="G34" s="0" t="s">
        <v>1174</v>
      </c>
      <c r="H34" s="0" t="s">
        <v>1173</v>
      </c>
    </row>
    <row r="35" customFormat="false" ht="14.65" hidden="false" customHeight="false" outlineLevel="0" collapsed="false">
      <c r="A35" s="43" t="s">
        <v>1175</v>
      </c>
      <c r="B35" s="44" t="s">
        <v>1172</v>
      </c>
      <c r="C35" s="45" t="s">
        <v>1176</v>
      </c>
      <c r="F35" s="0" t="str">
        <f aca="false">_xlfn.CONCAT(G35,H35)</f>
        <v>CSCE0099PENSAMIENTO CRITICO</v>
      </c>
      <c r="G35" s="0" t="s">
        <v>1177</v>
      </c>
      <c r="H35" s="0" t="s">
        <v>1176</v>
      </c>
    </row>
    <row r="36" customFormat="false" ht="14.65" hidden="false" customHeight="false" outlineLevel="0" collapsed="false">
      <c r="A36" s="43" t="s">
        <v>1178</v>
      </c>
      <c r="B36" s="44" t="s">
        <v>1172</v>
      </c>
      <c r="C36" s="45" t="s">
        <v>1179</v>
      </c>
      <c r="F36" s="0" t="str">
        <f aca="false">_xlfn.CONCAT(G36,H36)</f>
        <v>AHCN0099EMPRENDEDOR</v>
      </c>
      <c r="G36" s="0" t="s">
        <v>1180</v>
      </c>
      <c r="H36" s="0" t="s">
        <v>1179</v>
      </c>
    </row>
    <row r="37" customFormat="false" ht="14.65" hidden="false" customHeight="false" outlineLevel="0" collapsed="false">
      <c r="A37" s="43" t="s">
        <v>1074</v>
      </c>
      <c r="B37" s="44" t="s">
        <v>1181</v>
      </c>
      <c r="C37" s="45" t="s">
        <v>1182</v>
      </c>
      <c r="F37" s="0" t="str">
        <f aca="false">_xlfn.CONCAT(G37,H37)</f>
        <v>HSHM2000TECNICAS DE EVALUACION I</v>
      </c>
      <c r="G37" s="0" t="s">
        <v>1183</v>
      </c>
      <c r="H37" s="0" t="s">
        <v>1182</v>
      </c>
    </row>
    <row r="38" customFormat="false" ht="14.65" hidden="false" customHeight="false" outlineLevel="0" collapsed="false">
      <c r="A38" s="43" t="s">
        <v>1074</v>
      </c>
      <c r="B38" s="44" t="s">
        <v>1184</v>
      </c>
      <c r="C38" s="45" t="s">
        <v>1185</v>
      </c>
      <c r="F38" s="0" t="str">
        <f aca="false">_xlfn.CONCAT(G38,H38)</f>
        <v>HSHM2001TERAPIA FISICA APLICADA I</v>
      </c>
      <c r="G38" s="0" t="s">
        <v>1186</v>
      </c>
      <c r="H38" s="0" t="s">
        <v>1185</v>
      </c>
    </row>
    <row r="39" customFormat="false" ht="14.65" hidden="false" customHeight="false" outlineLevel="0" collapsed="false">
      <c r="A39" s="43" t="s">
        <v>1074</v>
      </c>
      <c r="B39" s="44" t="s">
        <v>1187</v>
      </c>
      <c r="C39" s="45" t="s">
        <v>1188</v>
      </c>
      <c r="F39" s="0" t="str">
        <f aca="false">_xlfn.CONCAT(G39,H39)</f>
        <v>HSHM2002EJERCICIOS TERAPEUTICOS I</v>
      </c>
      <c r="G39" s="0" t="s">
        <v>1189</v>
      </c>
      <c r="H39" s="0" t="s">
        <v>1188</v>
      </c>
    </row>
    <row r="40" customFormat="false" ht="14.65" hidden="false" customHeight="false" outlineLevel="0" collapsed="false">
      <c r="A40" s="43" t="s">
        <v>1074</v>
      </c>
      <c r="B40" s="44" t="s">
        <v>1190</v>
      </c>
      <c r="C40" s="45" t="s">
        <v>1191</v>
      </c>
      <c r="F40" s="0" t="str">
        <f aca="false">_xlfn.CONCAT(G40,H40)</f>
        <v>HSHM2003SALUD DEPORTIVA</v>
      </c>
      <c r="G40" s="0" t="s">
        <v>1192</v>
      </c>
      <c r="H40" s="0" t="s">
        <v>1191</v>
      </c>
    </row>
    <row r="41" customFormat="false" ht="14.65" hidden="false" customHeight="false" outlineLevel="0" collapsed="false">
      <c r="A41" s="43" t="s">
        <v>1074</v>
      </c>
      <c r="B41" s="44" t="s">
        <v>1193</v>
      </c>
      <c r="C41" s="45" t="s">
        <v>1194</v>
      </c>
      <c r="F41" s="0" t="str">
        <f aca="false">_xlfn.CONCAT(G41,H41)</f>
        <v>HSHM2004TECNICAS DE EVALUACION II</v>
      </c>
      <c r="G41" s="0" t="s">
        <v>1195</v>
      </c>
      <c r="H41" s="0" t="s">
        <v>1194</v>
      </c>
    </row>
    <row r="42" customFormat="false" ht="14.65" hidden="false" customHeight="false" outlineLevel="0" collapsed="false">
      <c r="A42" s="43" t="s">
        <v>1074</v>
      </c>
      <c r="B42" s="44" t="s">
        <v>1196</v>
      </c>
      <c r="C42" s="45" t="s">
        <v>1197</v>
      </c>
      <c r="F42" s="0" t="str">
        <f aca="false">_xlfn.CONCAT(G42,H42)</f>
        <v>HSHM2005TERAPIA FISICA APLICADA II</v>
      </c>
      <c r="G42" s="0" t="s">
        <v>1198</v>
      </c>
      <c r="H42" s="0" t="s">
        <v>1197</v>
      </c>
    </row>
    <row r="43" customFormat="false" ht="14.65" hidden="false" customHeight="false" outlineLevel="0" collapsed="false">
      <c r="A43" s="43" t="s">
        <v>1074</v>
      </c>
      <c r="B43" s="44" t="s">
        <v>1199</v>
      </c>
      <c r="C43" s="45" t="s">
        <v>1200</v>
      </c>
      <c r="F43" s="0" t="str">
        <f aca="false">_xlfn.CONCAT(G43,H43)</f>
        <v>HSHM2006EJERCICIOS TERAPEUTICOS II</v>
      </c>
      <c r="G43" s="0" t="s">
        <v>1201</v>
      </c>
      <c r="H43" s="0" t="s">
        <v>1200</v>
      </c>
    </row>
    <row r="44" customFormat="false" ht="14.65" hidden="false" customHeight="false" outlineLevel="0" collapsed="false">
      <c r="A44" s="43" t="s">
        <v>1074</v>
      </c>
      <c r="B44" s="44" t="s">
        <v>1202</v>
      </c>
      <c r="C44" s="45" t="s">
        <v>1203</v>
      </c>
      <c r="F44" s="0" t="str">
        <f aca="false">_xlfn.CONCAT(G44,H44)</f>
        <v>HSHM2007PRACTICA SUPERVISADA I</v>
      </c>
      <c r="G44" s="0" t="s">
        <v>1204</v>
      </c>
      <c r="H44" s="0" t="s">
        <v>1203</v>
      </c>
    </row>
    <row r="45" customFormat="false" ht="14.65" hidden="false" customHeight="false" outlineLevel="0" collapsed="false">
      <c r="A45" s="43" t="s">
        <v>1074</v>
      </c>
      <c r="B45" s="44" t="s">
        <v>1205</v>
      </c>
      <c r="C45" s="45" t="s">
        <v>1206</v>
      </c>
      <c r="F45" s="0" t="str">
        <f aca="false">_xlfn.CONCAT(G45,H45)</f>
        <v>HSHM2008ETICA PROFESIONAL</v>
      </c>
      <c r="G45" s="0" t="s">
        <v>1207</v>
      </c>
      <c r="H45" s="0" t="s">
        <v>1206</v>
      </c>
    </row>
    <row r="46" customFormat="false" ht="14.65" hidden="false" customHeight="false" outlineLevel="0" collapsed="false">
      <c r="A46" s="43" t="s">
        <v>1074</v>
      </c>
      <c r="B46" s="44" t="s">
        <v>1208</v>
      </c>
      <c r="C46" s="45" t="s">
        <v>1209</v>
      </c>
      <c r="F46" s="0" t="str">
        <f aca="false">_xlfn.CONCAT(G46,H46)</f>
        <v>HSHM2009PLANIF Y ADMIN EN REHAB Y HABI</v>
      </c>
      <c r="G46" s="0" t="s">
        <v>1210</v>
      </c>
      <c r="H46" s="0" t="s">
        <v>1209</v>
      </c>
    </row>
    <row r="47" customFormat="false" ht="14.65" hidden="false" customHeight="false" outlineLevel="0" collapsed="false">
      <c r="A47" s="43" t="s">
        <v>1074</v>
      </c>
      <c r="B47" s="44" t="s">
        <v>1211</v>
      </c>
      <c r="C47" s="45" t="s">
        <v>1212</v>
      </c>
      <c r="F47" s="0" t="str">
        <f aca="false">_xlfn.CONCAT(G47,H47)</f>
        <v>HSHM2010TERAPIA FISICA APLICADA III</v>
      </c>
      <c r="G47" s="0" t="s">
        <v>1213</v>
      </c>
      <c r="H47" s="0" t="s">
        <v>1212</v>
      </c>
    </row>
    <row r="48" customFormat="false" ht="14.65" hidden="false" customHeight="false" outlineLevel="0" collapsed="false">
      <c r="A48" s="43" t="s">
        <v>1074</v>
      </c>
      <c r="B48" s="44" t="s">
        <v>1214</v>
      </c>
      <c r="C48" s="45" t="s">
        <v>1215</v>
      </c>
      <c r="F48" s="0" t="str">
        <f aca="false">_xlfn.CONCAT(G48,H48)</f>
        <v>HSHM2011PRACTICA SUPERVISADA II</v>
      </c>
      <c r="G48" s="0" t="s">
        <v>1216</v>
      </c>
      <c r="H48" s="0" t="s">
        <v>1215</v>
      </c>
    </row>
    <row r="49" customFormat="false" ht="14.65" hidden="false" customHeight="false" outlineLevel="0" collapsed="false">
      <c r="A49" s="43" t="s">
        <v>1074</v>
      </c>
      <c r="B49" s="44" t="s">
        <v>1217</v>
      </c>
      <c r="C49" s="45" t="s">
        <v>1218</v>
      </c>
      <c r="F49" s="0" t="str">
        <f aca="false">_xlfn.CONCAT(G49,H49)</f>
        <v>HSHM2012MEDICINA FAMILIAR Y COMUNITAR</v>
      </c>
      <c r="G49" s="0" t="s">
        <v>1219</v>
      </c>
      <c r="H49" s="0" t="s">
        <v>1218</v>
      </c>
    </row>
    <row r="50" customFormat="false" ht="14.65" hidden="false" customHeight="false" outlineLevel="0" collapsed="false">
      <c r="A50" s="43" t="s">
        <v>1074</v>
      </c>
      <c r="B50" s="44" t="s">
        <v>1220</v>
      </c>
      <c r="C50" s="45" t="s">
        <v>1221</v>
      </c>
      <c r="F50" s="0" t="str">
        <f aca="false">_xlfn.CONCAT(G50,H50)</f>
        <v>HSHM2013MEDICINA DEL TRABAJO</v>
      </c>
      <c r="G50" s="0" t="s">
        <v>1222</v>
      </c>
      <c r="H50" s="0" t="s">
        <v>1221</v>
      </c>
    </row>
    <row r="51" customFormat="false" ht="14.65" hidden="false" customHeight="false" outlineLevel="0" collapsed="false">
      <c r="A51" s="43" t="s">
        <v>1074</v>
      </c>
      <c r="B51" s="44" t="s">
        <v>1223</v>
      </c>
      <c r="C51" s="45" t="s">
        <v>1224</v>
      </c>
      <c r="F51" s="0" t="str">
        <f aca="false">_xlfn.CONCAT(G51,H51)</f>
        <v>HSHM2014PRACTICA SUPERVISADA III</v>
      </c>
      <c r="G51" s="0" t="s">
        <v>1225</v>
      </c>
      <c r="H51" s="0" t="s">
        <v>1224</v>
      </c>
    </row>
    <row r="52" customFormat="false" ht="14.65" hidden="false" customHeight="false" outlineLevel="0" collapsed="false">
      <c r="A52" s="43" t="s">
        <v>1074</v>
      </c>
      <c r="B52" s="44" t="s">
        <v>1226</v>
      </c>
      <c r="C52" s="45" t="s">
        <v>1227</v>
      </c>
      <c r="F52" s="0" t="str">
        <f aca="false">_xlfn.CONCAT(G52,H52)</f>
        <v>HSHM2015SEMINARIO DE GRADUACION</v>
      </c>
      <c r="G52" s="0" t="s">
        <v>1228</v>
      </c>
      <c r="H52" s="0" t="s">
        <v>1227</v>
      </c>
    </row>
    <row r="53" customFormat="false" ht="14.65" hidden="false" customHeight="false" outlineLevel="0" collapsed="false">
      <c r="A53" s="43" t="s">
        <v>1229</v>
      </c>
      <c r="B53" s="44" t="s">
        <v>1075</v>
      </c>
      <c r="C53" s="45" t="s">
        <v>1230</v>
      </c>
      <c r="F53" s="0" t="str">
        <f aca="false">_xlfn.CONCAT(G53,H53)</f>
        <v>CSEG0001TRABAJO COMUNAL UNIVERSITARIO</v>
      </c>
      <c r="G53" s="0" t="s">
        <v>1231</v>
      </c>
      <c r="H53" s="0" t="s">
        <v>1230</v>
      </c>
    </row>
    <row r="54" customFormat="false" ht="14.65" hidden="false" customHeight="false" outlineLevel="0" collapsed="false">
      <c r="A54" s="43" t="s">
        <v>1074</v>
      </c>
      <c r="B54" s="44" t="s">
        <v>1232</v>
      </c>
      <c r="C54" s="45" t="s">
        <v>1233</v>
      </c>
      <c r="F54" s="0" t="str">
        <f aca="false">_xlfn.CONCAT(G54,H54)</f>
        <v>HSHM2016PROYECTO DE GRADUACION</v>
      </c>
      <c r="G54" s="0" t="s">
        <v>1234</v>
      </c>
      <c r="H54" s="0" t="s">
        <v>1233</v>
      </c>
    </row>
    <row r="55" customFormat="false" ht="14.65" hidden="false" customHeight="false" outlineLevel="0" collapsed="false">
      <c r="A55" s="43" t="s">
        <v>1074</v>
      </c>
      <c r="B55" s="44" t="s">
        <v>1235</v>
      </c>
      <c r="C55" s="45" t="s">
        <v>1236</v>
      </c>
      <c r="F55" s="0" t="str">
        <f aca="false">_xlfn.CONCAT(G55,H55)</f>
        <v>HSHM2017TESIS DE GRADO</v>
      </c>
      <c r="G55" s="0" t="s">
        <v>1237</v>
      </c>
      <c r="H55" s="0" t="s">
        <v>1236</v>
      </c>
    </row>
    <row r="56" customFormat="false" ht="14.65" hidden="false" customHeight="false" outlineLevel="0" collapsed="false">
      <c r="A56" s="43" t="s">
        <v>1074</v>
      </c>
      <c r="B56" s="44" t="s">
        <v>1238</v>
      </c>
      <c r="C56" s="45" t="s">
        <v>1239</v>
      </c>
      <c r="F56" s="0" t="str">
        <f aca="false">_xlfn.CONCAT(G56,H56)</f>
        <v>HSHM2018PRUEBAS DE GRADO</v>
      </c>
      <c r="G56" s="0" t="s">
        <v>1240</v>
      </c>
      <c r="H56" s="0" t="s">
        <v>1239</v>
      </c>
    </row>
    <row r="57" customFormat="false" ht="14.65" hidden="false" customHeight="false" outlineLevel="0" collapsed="false">
      <c r="A57" s="43" t="s">
        <v>1241</v>
      </c>
      <c r="B57" s="44" t="s">
        <v>1075</v>
      </c>
      <c r="C57" s="45" t="s">
        <v>1242</v>
      </c>
      <c r="F57" s="0" t="str">
        <f aca="false">_xlfn.CONCAT(G57,H57)</f>
        <v>CCAV0001HISTORIA GENERAL DEL ARTE</v>
      </c>
      <c r="G57" s="0" t="s">
        <v>1243</v>
      </c>
      <c r="H57" s="0" t="s">
        <v>1242</v>
      </c>
    </row>
    <row r="58" customFormat="false" ht="14.65" hidden="false" customHeight="false" outlineLevel="0" collapsed="false">
      <c r="A58" s="43" t="s">
        <v>1241</v>
      </c>
      <c r="B58" s="44" t="s">
        <v>1078</v>
      </c>
      <c r="C58" s="45" t="s">
        <v>1244</v>
      </c>
      <c r="F58" s="0" t="str">
        <f aca="false">_xlfn.CONCAT(G58,H58)</f>
        <v>CCAV0002DIBUJO PUBLICITARIO I</v>
      </c>
      <c r="G58" s="0" t="s">
        <v>1245</v>
      </c>
      <c r="H58" s="0" t="s">
        <v>1244</v>
      </c>
    </row>
    <row r="59" customFormat="false" ht="14.65" hidden="false" customHeight="false" outlineLevel="0" collapsed="false">
      <c r="A59" s="43" t="s">
        <v>1171</v>
      </c>
      <c r="B59" s="44" t="s">
        <v>1078</v>
      </c>
      <c r="C59" s="45" t="s">
        <v>1246</v>
      </c>
      <c r="F59" s="0" t="str">
        <f aca="false">_xlfn.CONCAT(G59,H59)</f>
        <v>CCCO0002INTRODUCCION A LA PUBLICIDAD</v>
      </c>
      <c r="G59" s="0" t="s">
        <v>1247</v>
      </c>
      <c r="H59" s="0" t="s">
        <v>1246</v>
      </c>
    </row>
    <row r="60" customFormat="false" ht="14.65" hidden="false" customHeight="false" outlineLevel="0" collapsed="false">
      <c r="A60" s="43" t="s">
        <v>1241</v>
      </c>
      <c r="B60" s="44" t="s">
        <v>1162</v>
      </c>
      <c r="C60" s="45" t="s">
        <v>1248</v>
      </c>
      <c r="F60" s="0" t="str">
        <f aca="false">_xlfn.CONCAT(G60,H60)</f>
        <v>CCAV0004DISENO PUBLICITARIO I</v>
      </c>
      <c r="G60" s="0" t="s">
        <v>1249</v>
      </c>
      <c r="H60" s="0" t="s">
        <v>1248</v>
      </c>
    </row>
    <row r="61" customFormat="false" ht="14.65" hidden="false" customHeight="false" outlineLevel="0" collapsed="false">
      <c r="A61" s="43" t="s">
        <v>1171</v>
      </c>
      <c r="B61" s="44" t="s">
        <v>1081</v>
      </c>
      <c r="C61" s="45" t="s">
        <v>1250</v>
      </c>
      <c r="F61" s="0" t="str">
        <f aca="false">_xlfn.CONCAT(G61,H61)</f>
        <v>CCCO0003REDACCION Y ORTOGRAFIA</v>
      </c>
      <c r="G61" s="0" t="s">
        <v>1251</v>
      </c>
      <c r="H61" s="0" t="s">
        <v>1250</v>
      </c>
    </row>
    <row r="62" customFormat="false" ht="14.65" hidden="false" customHeight="false" outlineLevel="0" collapsed="false">
      <c r="A62" s="43" t="s">
        <v>1241</v>
      </c>
      <c r="B62" s="44" t="s">
        <v>1081</v>
      </c>
      <c r="C62" s="45" t="s">
        <v>1252</v>
      </c>
      <c r="F62" s="0" t="str">
        <f aca="false">_xlfn.CONCAT(G62,H62)</f>
        <v>CCAV0003DIBUJO PUBLICITARIO II</v>
      </c>
      <c r="G62" s="0" t="s">
        <v>1253</v>
      </c>
      <c r="H62" s="0" t="s">
        <v>1252</v>
      </c>
    </row>
    <row r="63" customFormat="false" ht="14.65" hidden="false" customHeight="false" outlineLevel="0" collapsed="false">
      <c r="A63" s="43" t="s">
        <v>1171</v>
      </c>
      <c r="B63" s="44" t="s">
        <v>1162</v>
      </c>
      <c r="C63" s="45" t="s">
        <v>1254</v>
      </c>
      <c r="F63" s="0" t="str">
        <f aca="false">_xlfn.CONCAT(G63,H63)</f>
        <v>CCCO0004ESTRATEGIA PUBLICITARIA</v>
      </c>
      <c r="G63" s="0" t="s">
        <v>1255</v>
      </c>
      <c r="H63" s="0" t="s">
        <v>1254</v>
      </c>
    </row>
    <row r="64" customFormat="false" ht="14.65" hidden="false" customHeight="false" outlineLevel="0" collapsed="false">
      <c r="A64" s="43" t="s">
        <v>1241</v>
      </c>
      <c r="B64" s="44" t="s">
        <v>1084</v>
      </c>
      <c r="C64" s="45" t="s">
        <v>1256</v>
      </c>
      <c r="F64" s="0" t="str">
        <f aca="false">_xlfn.CONCAT(G64,H64)</f>
        <v>CCAV0005DISENO PUBLICITARIO II</v>
      </c>
      <c r="G64" s="0" t="s">
        <v>1257</v>
      </c>
      <c r="H64" s="0" t="s">
        <v>1256</v>
      </c>
    </row>
    <row r="65" customFormat="false" ht="14.65" hidden="false" customHeight="false" outlineLevel="0" collapsed="false">
      <c r="A65" s="43" t="s">
        <v>1258</v>
      </c>
      <c r="B65" s="44" t="s">
        <v>1259</v>
      </c>
      <c r="C65" s="45" t="s">
        <v>1260</v>
      </c>
      <c r="F65" s="0" t="str">
        <f aca="false">_xlfn.CONCAT(G65,H65)</f>
        <v>CSID0060INGLES BASICO PARA DISENADORES</v>
      </c>
      <c r="G65" s="0" t="s">
        <v>1261</v>
      </c>
      <c r="H65" s="0" t="s">
        <v>1260</v>
      </c>
    </row>
    <row r="66" customFormat="false" ht="14.65" hidden="false" customHeight="false" outlineLevel="0" collapsed="false">
      <c r="A66" s="43" t="s">
        <v>1241</v>
      </c>
      <c r="B66" s="44" t="s">
        <v>1087</v>
      </c>
      <c r="C66" s="45" t="s">
        <v>1262</v>
      </c>
      <c r="F66" s="0" t="str">
        <f aca="false">_xlfn.CONCAT(G66,H66)</f>
        <v>CCAV0006DIBUJO PUBLICITARIO III</v>
      </c>
      <c r="G66" s="0" t="s">
        <v>1263</v>
      </c>
      <c r="H66" s="0" t="s">
        <v>1262</v>
      </c>
    </row>
    <row r="67" customFormat="false" ht="14.65" hidden="false" customHeight="false" outlineLevel="0" collapsed="false">
      <c r="A67" s="43" t="s">
        <v>1241</v>
      </c>
      <c r="B67" s="44" t="s">
        <v>1093</v>
      </c>
      <c r="C67" s="45" t="s">
        <v>1264</v>
      </c>
      <c r="F67" s="0" t="str">
        <f aca="false">_xlfn.CONCAT(G67,H67)</f>
        <v>CCAV0008DISENO PUBLICITARIO III</v>
      </c>
      <c r="G67" s="0" t="s">
        <v>1265</v>
      </c>
      <c r="H67" s="0" t="s">
        <v>1264</v>
      </c>
    </row>
    <row r="68" customFormat="false" ht="14.65" hidden="false" customHeight="false" outlineLevel="0" collapsed="false">
      <c r="A68" s="43" t="s">
        <v>1241</v>
      </c>
      <c r="B68" s="44" t="s">
        <v>1096</v>
      </c>
      <c r="C68" s="45" t="s">
        <v>1266</v>
      </c>
      <c r="F68" s="0" t="str">
        <f aca="false">_xlfn.CONCAT(G68,H68)</f>
        <v>CCAV0009DISENO POR COMPUTADORA I</v>
      </c>
      <c r="G68" s="0" t="s">
        <v>1267</v>
      </c>
      <c r="H68" s="0" t="s">
        <v>1266</v>
      </c>
    </row>
    <row r="69" customFormat="false" ht="14.65" hidden="false" customHeight="false" outlineLevel="0" collapsed="false">
      <c r="A69" s="43" t="s">
        <v>1171</v>
      </c>
      <c r="B69" s="44" t="s">
        <v>1075</v>
      </c>
      <c r="C69" s="45" t="s">
        <v>1268</v>
      </c>
      <c r="F69" s="0" t="str">
        <f aca="false">_xlfn.CONCAT(G69,H69)</f>
        <v>CCCO0001TEORIA DE LA COMUNICACION</v>
      </c>
      <c r="G69" s="0" t="s">
        <v>1269</v>
      </c>
      <c r="H69" s="0" t="s">
        <v>1268</v>
      </c>
    </row>
    <row r="70" customFormat="false" ht="14.65" hidden="false" customHeight="false" outlineLevel="0" collapsed="false">
      <c r="A70" s="43" t="s">
        <v>1171</v>
      </c>
      <c r="B70" s="44" t="s">
        <v>1102</v>
      </c>
      <c r="C70" s="45" t="s">
        <v>1270</v>
      </c>
      <c r="F70" s="0" t="str">
        <f aca="false">_xlfn.CONCAT(G70,H70)</f>
        <v>CCCO0011PRESENTACION PROYECTOS PUBLIC</v>
      </c>
      <c r="G70" s="0" t="s">
        <v>1271</v>
      </c>
      <c r="H70" s="0" t="s">
        <v>1270</v>
      </c>
    </row>
    <row r="71" customFormat="false" ht="14.65" hidden="false" customHeight="false" outlineLevel="0" collapsed="false">
      <c r="A71" s="43" t="s">
        <v>1241</v>
      </c>
      <c r="B71" s="44" t="s">
        <v>1105</v>
      </c>
      <c r="C71" s="45" t="s">
        <v>1272</v>
      </c>
      <c r="F71" s="0" t="str">
        <f aca="false">_xlfn.CONCAT(G71,H71)</f>
        <v>CCAV0012TECNICAS DE EXPRESION ART</v>
      </c>
      <c r="G71" s="0" t="s">
        <v>1273</v>
      </c>
      <c r="H71" s="0" t="s">
        <v>1272</v>
      </c>
    </row>
    <row r="72" customFormat="false" ht="14.65" hidden="false" customHeight="false" outlineLevel="0" collapsed="false">
      <c r="A72" s="43" t="s">
        <v>1241</v>
      </c>
      <c r="B72" s="44" t="s">
        <v>1102</v>
      </c>
      <c r="C72" s="45" t="s">
        <v>1274</v>
      </c>
      <c r="F72" s="0" t="str">
        <f aca="false">_xlfn.CONCAT(G72,H72)</f>
        <v>CCAV0011DISENO VITRINAS Y ESCAPARATES</v>
      </c>
      <c r="G72" s="0" t="s">
        <v>1275</v>
      </c>
      <c r="H72" s="0" t="s">
        <v>1274</v>
      </c>
    </row>
    <row r="73" customFormat="false" ht="14.65" hidden="false" customHeight="false" outlineLevel="0" collapsed="false">
      <c r="A73" s="43" t="s">
        <v>1241</v>
      </c>
      <c r="B73" s="44" t="s">
        <v>1090</v>
      </c>
      <c r="C73" s="45" t="s">
        <v>1276</v>
      </c>
      <c r="F73" s="0" t="str">
        <f aca="false">_xlfn.CONCAT(G73,H73)</f>
        <v>CCAV0007APRECIACION DEL ARTE</v>
      </c>
      <c r="G73" s="0" t="s">
        <v>1277</v>
      </c>
      <c r="H73" s="0" t="s">
        <v>1276</v>
      </c>
    </row>
    <row r="74" customFormat="false" ht="14.65" hidden="false" customHeight="false" outlineLevel="0" collapsed="false">
      <c r="A74" s="43" t="s">
        <v>1171</v>
      </c>
      <c r="B74" s="44" t="s">
        <v>1084</v>
      </c>
      <c r="C74" s="45" t="s">
        <v>1278</v>
      </c>
      <c r="F74" s="0" t="str">
        <f aca="false">_xlfn.CONCAT(G74,H74)</f>
        <v>CCCO0005TECNICAS DE COMUNICACION</v>
      </c>
      <c r="G74" s="0" t="s">
        <v>1279</v>
      </c>
      <c r="H74" s="0" t="s">
        <v>1278</v>
      </c>
    </row>
    <row r="75" customFormat="false" ht="14.65" hidden="false" customHeight="false" outlineLevel="0" collapsed="false">
      <c r="A75" s="43" t="s">
        <v>1241</v>
      </c>
      <c r="B75" s="44" t="s">
        <v>1108</v>
      </c>
      <c r="C75" s="45" t="s">
        <v>1280</v>
      </c>
      <c r="F75" s="0" t="str">
        <f aca="false">_xlfn.CONCAT(G75,H75)</f>
        <v>CCAV0013DISENO POR COMPUTADORA II</v>
      </c>
      <c r="G75" s="0" t="s">
        <v>1281</v>
      </c>
      <c r="H75" s="0" t="s">
        <v>1280</v>
      </c>
    </row>
    <row r="76" customFormat="false" ht="14.65" hidden="false" customHeight="false" outlineLevel="0" collapsed="false">
      <c r="A76" s="43" t="s">
        <v>1171</v>
      </c>
      <c r="B76" s="44" t="s">
        <v>1093</v>
      </c>
      <c r="C76" s="45" t="s">
        <v>1282</v>
      </c>
      <c r="F76" s="0" t="str">
        <f aca="false">_xlfn.CONCAT(G76,H76)</f>
        <v>CCCO0008PSICOLOGIA DEL CONSUMIDOR</v>
      </c>
      <c r="G76" s="0" t="s">
        <v>1283</v>
      </c>
      <c r="H76" s="0" t="s">
        <v>1282</v>
      </c>
    </row>
    <row r="77" customFormat="false" ht="14.65" hidden="false" customHeight="false" outlineLevel="0" collapsed="false">
      <c r="A77" s="43" t="s">
        <v>1241</v>
      </c>
      <c r="B77" s="44" t="s">
        <v>1111</v>
      </c>
      <c r="C77" s="45" t="s">
        <v>1284</v>
      </c>
      <c r="F77" s="0" t="str">
        <f aca="false">_xlfn.CONCAT(G77,H77)</f>
        <v>CCAV0014CAMPANA I</v>
      </c>
      <c r="G77" s="0" t="s">
        <v>1285</v>
      </c>
      <c r="H77" s="0" t="s">
        <v>1284</v>
      </c>
    </row>
    <row r="78" customFormat="false" ht="14.65" hidden="false" customHeight="false" outlineLevel="0" collapsed="false">
      <c r="A78" s="43" t="s">
        <v>1241</v>
      </c>
      <c r="B78" s="44" t="s">
        <v>1117</v>
      </c>
      <c r="C78" s="45" t="s">
        <v>1286</v>
      </c>
      <c r="F78" s="0" t="str">
        <f aca="false">_xlfn.CONCAT(G78,H78)</f>
        <v>CCAV0016DISENO POR COMPUTADORA III</v>
      </c>
      <c r="G78" s="0" t="s">
        <v>1287</v>
      </c>
      <c r="H78" s="0" t="s">
        <v>1286</v>
      </c>
    </row>
    <row r="79" customFormat="false" ht="14.65" hidden="false" customHeight="false" outlineLevel="0" collapsed="false">
      <c r="A79" s="43" t="s">
        <v>1241</v>
      </c>
      <c r="B79" s="44" t="s">
        <v>1120</v>
      </c>
      <c r="C79" s="45" t="s">
        <v>1288</v>
      </c>
      <c r="F79" s="0" t="str">
        <f aca="false">_xlfn.CONCAT(G79,H79)</f>
        <v>CCAV0017PRODUCCION PUBLICITARIA TV</v>
      </c>
      <c r="G79" s="0" t="s">
        <v>1289</v>
      </c>
      <c r="H79" s="0" t="s">
        <v>1288</v>
      </c>
    </row>
    <row r="80" customFormat="false" ht="14.65" hidden="false" customHeight="false" outlineLevel="0" collapsed="false">
      <c r="A80" s="43" t="s">
        <v>1241</v>
      </c>
      <c r="B80" s="44" t="s">
        <v>1099</v>
      </c>
      <c r="C80" s="45" t="s">
        <v>1290</v>
      </c>
      <c r="F80" s="0" t="str">
        <f aca="false">_xlfn.CONCAT(G80,H80)</f>
        <v>CCAV0010FOTOGRAFIA</v>
      </c>
      <c r="G80" s="0" t="s">
        <v>1291</v>
      </c>
      <c r="H80" s="0" t="s">
        <v>1290</v>
      </c>
    </row>
    <row r="81" customFormat="false" ht="14.65" hidden="false" customHeight="false" outlineLevel="0" collapsed="false">
      <c r="A81" s="43" t="s">
        <v>1241</v>
      </c>
      <c r="B81" s="44" t="s">
        <v>1114</v>
      </c>
      <c r="C81" s="45" t="s">
        <v>1292</v>
      </c>
      <c r="F81" s="0" t="str">
        <f aca="false">_xlfn.CONCAT(G81,H81)</f>
        <v>CCAV0015CAMPANA II</v>
      </c>
      <c r="G81" s="0" t="s">
        <v>1293</v>
      </c>
      <c r="H81" s="0" t="s">
        <v>1292</v>
      </c>
    </row>
    <row r="82" customFormat="false" ht="14.65" hidden="false" customHeight="false" outlineLevel="0" collapsed="false">
      <c r="A82" s="43" t="s">
        <v>1171</v>
      </c>
      <c r="B82" s="44" t="s">
        <v>1129</v>
      </c>
      <c r="C82" s="45" t="s">
        <v>1294</v>
      </c>
      <c r="F82" s="0" t="str">
        <f aca="false">_xlfn.CONCAT(G82,H82)</f>
        <v>CCCO0021SOCIOLOGIA APLICADA A LA PUBL</v>
      </c>
      <c r="G82" s="0" t="s">
        <v>1295</v>
      </c>
      <c r="H82" s="0" t="s">
        <v>1294</v>
      </c>
    </row>
    <row r="83" customFormat="false" ht="14.65" hidden="false" customHeight="false" outlineLevel="0" collapsed="false">
      <c r="A83" s="43" t="s">
        <v>1241</v>
      </c>
      <c r="B83" s="44" t="s">
        <v>1126</v>
      </c>
      <c r="C83" s="45" t="s">
        <v>1296</v>
      </c>
      <c r="F83" s="0" t="str">
        <f aca="false">_xlfn.CONCAT(G83,H83)</f>
        <v>CCAV0019DISENO POR COMPUTADORA IV</v>
      </c>
      <c r="G83" s="0" t="s">
        <v>1297</v>
      </c>
      <c r="H83" s="0" t="s">
        <v>1296</v>
      </c>
    </row>
    <row r="84" customFormat="false" ht="14.65" hidden="false" customHeight="false" outlineLevel="0" collapsed="false">
      <c r="A84" s="43" t="s">
        <v>1241</v>
      </c>
      <c r="B84" s="44" t="s">
        <v>1123</v>
      </c>
      <c r="C84" s="45" t="s">
        <v>1298</v>
      </c>
      <c r="F84" s="0" t="str">
        <f aca="false">_xlfn.CONCAT(G84,H84)</f>
        <v>CCAV0018PRODUCCION GRAFICA</v>
      </c>
      <c r="G84" s="0" t="s">
        <v>1299</v>
      </c>
      <c r="H84" s="0" t="s">
        <v>1298</v>
      </c>
    </row>
    <row r="85" customFormat="false" ht="14.65" hidden="false" customHeight="false" outlineLevel="0" collapsed="false">
      <c r="A85" s="43" t="s">
        <v>1171</v>
      </c>
      <c r="B85" s="44" t="s">
        <v>1165</v>
      </c>
      <c r="C85" s="45" t="s">
        <v>1300</v>
      </c>
      <c r="F85" s="0" t="str">
        <f aca="false">_xlfn.CONCAT(G85,H85)</f>
        <v>CCCO0020ETICA Y LEGISLACION PUBL</v>
      </c>
      <c r="G85" s="0" t="s">
        <v>1301</v>
      </c>
      <c r="H85" s="0" t="s">
        <v>1300</v>
      </c>
    </row>
    <row r="86" customFormat="false" ht="14.65" hidden="false" customHeight="false" outlineLevel="0" collapsed="false">
      <c r="A86" s="43" t="s">
        <v>1171</v>
      </c>
      <c r="B86" s="44" t="s">
        <v>1111</v>
      </c>
      <c r="C86" s="45" t="s">
        <v>1302</v>
      </c>
      <c r="F86" s="0" t="str">
        <f aca="false">_xlfn.CONCAT(G86,H86)</f>
        <v>CCCO0014PRODUCCION RADIOFONICA</v>
      </c>
      <c r="G86" s="0" t="s">
        <v>1303</v>
      </c>
      <c r="H86" s="0" t="s">
        <v>1302</v>
      </c>
    </row>
    <row r="87" customFormat="false" ht="14.65" hidden="false" customHeight="false" outlineLevel="0" collapsed="false">
      <c r="A87" s="43" t="s">
        <v>1241</v>
      </c>
      <c r="B87" s="44" t="s">
        <v>1129</v>
      </c>
      <c r="C87" s="45" t="s">
        <v>1304</v>
      </c>
      <c r="F87" s="0" t="str">
        <f aca="false">_xlfn.CONCAT(G87,H87)</f>
        <v>CCAV0021SEMINARIO PROMOCION VENT GRAF</v>
      </c>
      <c r="G87" s="0" t="s">
        <v>1305</v>
      </c>
      <c r="H87" s="0" t="s">
        <v>1304</v>
      </c>
    </row>
    <row r="88" customFormat="false" ht="14.65" hidden="false" customHeight="false" outlineLevel="0" collapsed="false">
      <c r="A88" s="43" t="s">
        <v>1171</v>
      </c>
      <c r="B88" s="44" t="s">
        <v>1090</v>
      </c>
      <c r="C88" s="45" t="s">
        <v>1276</v>
      </c>
      <c r="F88" s="0" t="str">
        <f aca="false">_xlfn.CONCAT(G88,H88)</f>
        <v>CCCO0007APRECIACION DEL ARTE</v>
      </c>
      <c r="G88" s="0" t="s">
        <v>1306</v>
      </c>
      <c r="H88" s="0" t="s">
        <v>1276</v>
      </c>
    </row>
    <row r="89" customFormat="false" ht="14.65" hidden="false" customHeight="false" outlineLevel="0" collapsed="false">
      <c r="A89" s="43" t="s">
        <v>1171</v>
      </c>
      <c r="B89" s="44" t="s">
        <v>1087</v>
      </c>
      <c r="C89" s="45" t="s">
        <v>1307</v>
      </c>
      <c r="F89" s="0" t="str">
        <f aca="false">_xlfn.CONCAT(G89,H89)</f>
        <v>CCCO0006TECNICAS  ANALISIS CONDUCTUAL</v>
      </c>
      <c r="G89" s="0" t="s">
        <v>1308</v>
      </c>
      <c r="H89" s="0" t="s">
        <v>1307</v>
      </c>
    </row>
    <row r="90" customFormat="false" ht="14.65" hidden="false" customHeight="false" outlineLevel="0" collapsed="false">
      <c r="A90" s="43" t="s">
        <v>1258</v>
      </c>
      <c r="B90" s="44" t="s">
        <v>1309</v>
      </c>
      <c r="C90" s="45" t="s">
        <v>1310</v>
      </c>
      <c r="F90" s="0" t="str">
        <f aca="false">_xlfn.CONCAT(G90,H90)</f>
        <v>CSID0103INGLES III</v>
      </c>
      <c r="G90" s="0" t="s">
        <v>1311</v>
      </c>
      <c r="H90" s="0" t="s">
        <v>1310</v>
      </c>
    </row>
    <row r="91" customFormat="false" ht="14.65" hidden="false" customHeight="false" outlineLevel="0" collapsed="false">
      <c r="A91" s="43" t="s">
        <v>1171</v>
      </c>
      <c r="B91" s="44" t="s">
        <v>1132</v>
      </c>
      <c r="C91" s="45" t="s">
        <v>1312</v>
      </c>
      <c r="F91" s="0" t="str">
        <f aca="false">_xlfn.CONCAT(G91,H91)</f>
        <v>CCCO0022ESTRATEGIA CREATIVA</v>
      </c>
      <c r="G91" s="0" t="s">
        <v>1313</v>
      </c>
      <c r="H91" s="0" t="s">
        <v>1312</v>
      </c>
    </row>
    <row r="92" customFormat="false" ht="14.65" hidden="false" customHeight="false" outlineLevel="0" collapsed="false">
      <c r="A92" s="43" t="s">
        <v>1258</v>
      </c>
      <c r="B92" s="44" t="s">
        <v>1314</v>
      </c>
      <c r="C92" s="45" t="s">
        <v>1315</v>
      </c>
      <c r="F92" s="0" t="str">
        <f aca="false">_xlfn.CONCAT(G92,H92)</f>
        <v>CSID0104INGLES IV</v>
      </c>
      <c r="G92" s="0" t="s">
        <v>1316</v>
      </c>
      <c r="H92" s="0" t="s">
        <v>1315</v>
      </c>
    </row>
    <row r="93" customFormat="false" ht="14.65" hidden="false" customHeight="false" outlineLevel="0" collapsed="false">
      <c r="A93" s="43" t="s">
        <v>1171</v>
      </c>
      <c r="B93" s="44" t="s">
        <v>1096</v>
      </c>
      <c r="C93" s="45" t="s">
        <v>1317</v>
      </c>
      <c r="F93" s="0" t="str">
        <f aca="false">_xlfn.CONCAT(G93,H93)</f>
        <v>CCCO0009LEGISLACION PUBLICITARIA</v>
      </c>
      <c r="G93" s="0" t="s">
        <v>1318</v>
      </c>
      <c r="H93" s="0" t="s">
        <v>1317</v>
      </c>
    </row>
    <row r="94" customFormat="false" ht="14.65" hidden="false" customHeight="false" outlineLevel="0" collapsed="false">
      <c r="A94" s="43" t="s">
        <v>1171</v>
      </c>
      <c r="B94" s="44" t="s">
        <v>1099</v>
      </c>
      <c r="C94" s="45" t="s">
        <v>1319</v>
      </c>
      <c r="F94" s="0" t="str">
        <f aca="false">_xlfn.CONCAT(G94,H94)</f>
        <v>CCCO0010INTRODUCCION RELACIONES PUBLI</v>
      </c>
      <c r="G94" s="0" t="s">
        <v>1320</v>
      </c>
      <c r="H94" s="0" t="s">
        <v>1319</v>
      </c>
    </row>
    <row r="95" customFormat="false" ht="14.65" hidden="false" customHeight="false" outlineLevel="0" collapsed="false">
      <c r="A95" s="43" t="s">
        <v>1258</v>
      </c>
      <c r="B95" s="44" t="s">
        <v>1321</v>
      </c>
      <c r="C95" s="45" t="s">
        <v>1322</v>
      </c>
      <c r="F95" s="0" t="str">
        <f aca="false">_xlfn.CONCAT(G95,H95)</f>
        <v>CSID0105INGLES V</v>
      </c>
      <c r="G95" s="0" t="s">
        <v>1323</v>
      </c>
      <c r="H95" s="0" t="s">
        <v>1322</v>
      </c>
    </row>
    <row r="96" customFormat="false" ht="14.65" hidden="false" customHeight="false" outlineLevel="0" collapsed="false">
      <c r="A96" s="43" t="s">
        <v>1171</v>
      </c>
      <c r="B96" s="44" t="s">
        <v>1105</v>
      </c>
      <c r="C96" s="45" t="s">
        <v>997</v>
      </c>
      <c r="F96" s="0" t="str">
        <f aca="false">_xlfn.CONCAT(G96,H96)</f>
        <v>CCCO0012TALLER CREATIVO I</v>
      </c>
      <c r="G96" s="0" t="s">
        <v>1324</v>
      </c>
      <c r="H96" s="0" t="s">
        <v>997</v>
      </c>
    </row>
    <row r="97" customFormat="false" ht="14.65" hidden="false" customHeight="false" outlineLevel="0" collapsed="false">
      <c r="A97" s="43" t="s">
        <v>1171</v>
      </c>
      <c r="B97" s="44" t="s">
        <v>1108</v>
      </c>
      <c r="C97" s="45" t="s">
        <v>586</v>
      </c>
      <c r="F97" s="0" t="str">
        <f aca="false">_xlfn.CONCAT(G97,H97)</f>
        <v>CCCO0013ESTRATEGIA DE MEDIOS</v>
      </c>
      <c r="G97" s="0" t="s">
        <v>1325</v>
      </c>
      <c r="H97" s="0" t="s">
        <v>586</v>
      </c>
    </row>
    <row r="98" customFormat="false" ht="14.65" hidden="false" customHeight="false" outlineLevel="0" collapsed="false">
      <c r="A98" s="43" t="s">
        <v>1258</v>
      </c>
      <c r="B98" s="44" t="s">
        <v>1326</v>
      </c>
      <c r="C98" s="45" t="s">
        <v>1327</v>
      </c>
      <c r="F98" s="0" t="str">
        <f aca="false">_xlfn.CONCAT(G98,H98)</f>
        <v>CSID0106INGLES VI</v>
      </c>
      <c r="G98" s="0" t="s">
        <v>1328</v>
      </c>
      <c r="H98" s="0" t="s">
        <v>1327</v>
      </c>
    </row>
    <row r="99" customFormat="false" ht="14.65" hidden="false" customHeight="false" outlineLevel="0" collapsed="false">
      <c r="A99" s="43" t="s">
        <v>1171</v>
      </c>
      <c r="B99" s="44" t="s">
        <v>1114</v>
      </c>
      <c r="C99" s="45" t="s">
        <v>1329</v>
      </c>
      <c r="F99" s="0" t="str">
        <f aca="false">_xlfn.CONCAT(G99,H99)</f>
        <v>CCCO0015INVESTIGACION DE MERCADOS</v>
      </c>
      <c r="G99" s="0" t="s">
        <v>1330</v>
      </c>
      <c r="H99" s="0" t="s">
        <v>1329</v>
      </c>
    </row>
    <row r="100" customFormat="false" ht="14.65" hidden="false" customHeight="false" outlineLevel="0" collapsed="false">
      <c r="A100" s="43" t="s">
        <v>1241</v>
      </c>
      <c r="B100" s="44" t="s">
        <v>1165</v>
      </c>
      <c r="C100" s="45" t="s">
        <v>1331</v>
      </c>
      <c r="F100" s="0" t="str">
        <f aca="false">_xlfn.CONCAT(G100,H100)</f>
        <v>CCAV0020PRODUCCION AUDIOVISUAL</v>
      </c>
      <c r="G100" s="0" t="s">
        <v>1332</v>
      </c>
      <c r="H100" s="0" t="s">
        <v>1331</v>
      </c>
    </row>
    <row r="101" customFormat="false" ht="14.65" hidden="false" customHeight="false" outlineLevel="0" collapsed="false">
      <c r="A101" s="43" t="s">
        <v>1171</v>
      </c>
      <c r="B101" s="44" t="s">
        <v>1117</v>
      </c>
      <c r="C101" s="45" t="s">
        <v>999</v>
      </c>
      <c r="F101" s="0" t="str">
        <f aca="false">_xlfn.CONCAT(G101,H101)</f>
        <v>CCCO0016TALLER CREATIVO II</v>
      </c>
      <c r="G101" s="0" t="s">
        <v>1333</v>
      </c>
      <c r="H101" s="0" t="s">
        <v>999</v>
      </c>
    </row>
    <row r="102" customFormat="false" ht="14.65" hidden="false" customHeight="false" outlineLevel="0" collapsed="false">
      <c r="A102" s="43" t="s">
        <v>1171</v>
      </c>
      <c r="B102" s="44" t="s">
        <v>1120</v>
      </c>
      <c r="C102" s="45" t="s">
        <v>860</v>
      </c>
      <c r="F102" s="0" t="str">
        <f aca="false">_xlfn.CONCAT(G102,H102)</f>
        <v>CCCO0017MERCADEO DIRECTO</v>
      </c>
      <c r="G102" s="0" t="s">
        <v>1334</v>
      </c>
      <c r="H102" s="0" t="s">
        <v>860</v>
      </c>
    </row>
    <row r="103" customFormat="false" ht="14.65" hidden="false" customHeight="false" outlineLevel="0" collapsed="false">
      <c r="A103" s="43" t="s">
        <v>1171</v>
      </c>
      <c r="B103" s="44" t="s">
        <v>1123</v>
      </c>
      <c r="C103" s="45" t="s">
        <v>1335</v>
      </c>
      <c r="F103" s="0" t="str">
        <f aca="false">_xlfn.CONCAT(G103,H103)</f>
        <v>CCCO0018COMUNICACION INTEGRADA MERCAD</v>
      </c>
      <c r="G103" s="0" t="s">
        <v>1336</v>
      </c>
      <c r="H103" s="0" t="s">
        <v>1335</v>
      </c>
    </row>
    <row r="104" customFormat="false" ht="14.65" hidden="false" customHeight="false" outlineLevel="0" collapsed="false">
      <c r="A104" s="43" t="s">
        <v>1171</v>
      </c>
      <c r="B104" s="44" t="s">
        <v>1126</v>
      </c>
      <c r="C104" s="45" t="s">
        <v>1337</v>
      </c>
      <c r="F104" s="0" t="str">
        <f aca="false">_xlfn.CONCAT(G104,H104)</f>
        <v>CCCO0019PRACTICA PUBLICIDAD INTEGRADA</v>
      </c>
      <c r="G104" s="0" t="s">
        <v>1338</v>
      </c>
      <c r="H104" s="0" t="s">
        <v>1337</v>
      </c>
    </row>
    <row r="105" customFormat="false" ht="14.65" hidden="false" customHeight="false" outlineLevel="0" collapsed="false">
      <c r="A105" s="43" t="s">
        <v>1178</v>
      </c>
      <c r="B105" s="44" t="s">
        <v>1339</v>
      </c>
      <c r="C105" s="45" t="s">
        <v>1340</v>
      </c>
      <c r="F105" s="0" t="str">
        <f aca="false">_xlfn.CONCAT(G105,H105)</f>
        <v>AHCN0093ECONOMIA</v>
      </c>
      <c r="G105" s="0" t="s">
        <v>1341</v>
      </c>
      <c r="H105" s="0" t="s">
        <v>1340</v>
      </c>
    </row>
    <row r="106" customFormat="false" ht="14.65" hidden="false" customHeight="false" outlineLevel="0" collapsed="false">
      <c r="A106" s="43" t="s">
        <v>1171</v>
      </c>
      <c r="B106" s="44" t="s">
        <v>1181</v>
      </c>
      <c r="C106" s="45" t="s">
        <v>1342</v>
      </c>
      <c r="F106" s="0" t="str">
        <f aca="false">_xlfn.CONCAT(G106,H106)</f>
        <v>CCCO2000COMUNICACION CORPORATIVA</v>
      </c>
      <c r="G106" s="0" t="s">
        <v>1343</v>
      </c>
      <c r="H106" s="0" t="s">
        <v>1342</v>
      </c>
    </row>
    <row r="107" customFormat="false" ht="14.65" hidden="false" customHeight="false" outlineLevel="0" collapsed="false">
      <c r="A107" s="43" t="s">
        <v>1171</v>
      </c>
      <c r="B107" s="44" t="s">
        <v>1184</v>
      </c>
      <c r="C107" s="45" t="s">
        <v>1344</v>
      </c>
      <c r="F107" s="0" t="str">
        <f aca="false">_xlfn.CONCAT(G107,H107)</f>
        <v>CCCO2001EVALUACION DE MEDIOS DE COMUN</v>
      </c>
      <c r="G107" s="0" t="s">
        <v>1345</v>
      </c>
      <c r="H107" s="0" t="s">
        <v>1344</v>
      </c>
    </row>
    <row r="108" customFormat="false" ht="14.65" hidden="false" customHeight="false" outlineLevel="0" collapsed="false">
      <c r="A108" s="43" t="s">
        <v>1171</v>
      </c>
      <c r="B108" s="44" t="s">
        <v>1187</v>
      </c>
      <c r="C108" s="45" t="s">
        <v>1346</v>
      </c>
      <c r="F108" s="0" t="str">
        <f aca="false">_xlfn.CONCAT(G108,H108)</f>
        <v>CCCO2002PROMOCION Y VENTAS</v>
      </c>
      <c r="G108" s="0" t="s">
        <v>1347</v>
      </c>
      <c r="H108" s="0" t="s">
        <v>1346</v>
      </c>
    </row>
    <row r="109" customFormat="false" ht="14.65" hidden="false" customHeight="false" outlineLevel="0" collapsed="false">
      <c r="A109" s="43" t="s">
        <v>1171</v>
      </c>
      <c r="B109" s="44" t="s">
        <v>1190</v>
      </c>
      <c r="C109" s="45" t="s">
        <v>1348</v>
      </c>
      <c r="F109" s="0" t="str">
        <f aca="false">_xlfn.CONCAT(G109,H109)</f>
        <v>CCCO2003MERCHANDISING</v>
      </c>
      <c r="G109" s="0" t="s">
        <v>1349</v>
      </c>
      <c r="H109" s="0" t="s">
        <v>1348</v>
      </c>
    </row>
    <row r="110" customFormat="false" ht="14.65" hidden="false" customHeight="false" outlineLevel="0" collapsed="false">
      <c r="A110" s="43" t="s">
        <v>1171</v>
      </c>
      <c r="B110" s="44" t="s">
        <v>1193</v>
      </c>
      <c r="C110" s="45" t="s">
        <v>1350</v>
      </c>
      <c r="F110" s="0" t="str">
        <f aca="false">_xlfn.CONCAT(G110,H110)</f>
        <v>CCCO2004COMUNICACION POLITICA</v>
      </c>
      <c r="G110" s="0" t="s">
        <v>1351</v>
      </c>
      <c r="H110" s="0" t="s">
        <v>1350</v>
      </c>
    </row>
    <row r="111" customFormat="false" ht="14.65" hidden="false" customHeight="false" outlineLevel="0" collapsed="false">
      <c r="A111" s="43" t="s">
        <v>1171</v>
      </c>
      <c r="B111" s="44" t="s">
        <v>1196</v>
      </c>
      <c r="C111" s="45" t="s">
        <v>1352</v>
      </c>
      <c r="F111" s="0" t="str">
        <f aca="false">_xlfn.CONCAT(G111,H111)</f>
        <v>CCCO2005MARKETING INTERNACIONAL</v>
      </c>
      <c r="G111" s="0" t="s">
        <v>1353</v>
      </c>
      <c r="H111" s="0" t="s">
        <v>1352</v>
      </c>
    </row>
    <row r="112" customFormat="false" ht="14.65" hidden="false" customHeight="false" outlineLevel="0" collapsed="false">
      <c r="A112" s="43" t="s">
        <v>1171</v>
      </c>
      <c r="B112" s="44" t="s">
        <v>1199</v>
      </c>
      <c r="C112" s="45" t="s">
        <v>1354</v>
      </c>
      <c r="F112" s="0" t="str">
        <f aca="false">_xlfn.CONCAT(G112,H112)</f>
        <v>CCCO2006SEMINARIO DE GRADUACION I</v>
      </c>
      <c r="G112" s="0" t="s">
        <v>1355</v>
      </c>
      <c r="H112" s="0" t="s">
        <v>1354</v>
      </c>
    </row>
    <row r="113" customFormat="false" ht="14.65" hidden="false" customHeight="false" outlineLevel="0" collapsed="false">
      <c r="A113" s="43" t="s">
        <v>1171</v>
      </c>
      <c r="B113" s="44" t="s">
        <v>1202</v>
      </c>
      <c r="C113" s="45" t="s">
        <v>1356</v>
      </c>
      <c r="F113" s="0" t="str">
        <f aca="false">_xlfn.CONCAT(G113,H113)</f>
        <v>CCCO2007LEGISLACION LABORAL Y MERCANT</v>
      </c>
      <c r="G113" s="0" t="s">
        <v>1357</v>
      </c>
      <c r="H113" s="0" t="s">
        <v>1356</v>
      </c>
    </row>
    <row r="114" customFormat="false" ht="14.65" hidden="false" customHeight="false" outlineLevel="0" collapsed="false">
      <c r="A114" s="43" t="s">
        <v>1171</v>
      </c>
      <c r="B114" s="44" t="s">
        <v>1205</v>
      </c>
      <c r="C114" s="45" t="s">
        <v>1358</v>
      </c>
      <c r="F114" s="0" t="str">
        <f aca="false">_xlfn.CONCAT(G114,H114)</f>
        <v>CCCO2008SISTEMAS INFORMACION GERENCIAL</v>
      </c>
      <c r="G114" s="0" t="s">
        <v>1359</v>
      </c>
      <c r="H114" s="0" t="s">
        <v>1358</v>
      </c>
    </row>
    <row r="115" customFormat="false" ht="14.65" hidden="false" customHeight="false" outlineLevel="0" collapsed="false">
      <c r="A115" s="43" t="s">
        <v>1171</v>
      </c>
      <c r="B115" s="44" t="s">
        <v>1208</v>
      </c>
      <c r="C115" s="45" t="s">
        <v>1360</v>
      </c>
      <c r="F115" s="0" t="str">
        <f aca="false">_xlfn.CONCAT(G115,H115)</f>
        <v>CCCO2009SEMINARIO DE GRADUACION II</v>
      </c>
      <c r="G115" s="0" t="s">
        <v>1361</v>
      </c>
      <c r="H115" s="0" t="s">
        <v>1360</v>
      </c>
    </row>
    <row r="116" customFormat="false" ht="14.65" hidden="false" customHeight="false" outlineLevel="0" collapsed="false">
      <c r="A116" s="43" t="s">
        <v>1171</v>
      </c>
      <c r="B116" s="44" t="s">
        <v>1232</v>
      </c>
      <c r="C116" s="45" t="s">
        <v>1233</v>
      </c>
      <c r="F116" s="0" t="str">
        <f aca="false">_xlfn.CONCAT(G116,H116)</f>
        <v>CCCO2016PROYECTO DE GRADUACION</v>
      </c>
      <c r="G116" s="0" t="s">
        <v>1362</v>
      </c>
      <c r="H116" s="0" t="s">
        <v>1233</v>
      </c>
    </row>
    <row r="117" customFormat="false" ht="14.65" hidden="false" customHeight="false" outlineLevel="0" collapsed="false">
      <c r="A117" s="43" t="s">
        <v>1171</v>
      </c>
      <c r="B117" s="44" t="s">
        <v>1235</v>
      </c>
      <c r="C117" s="45" t="s">
        <v>1236</v>
      </c>
      <c r="F117" s="0" t="str">
        <f aca="false">_xlfn.CONCAT(G117,H117)</f>
        <v>CCCO2017TESIS DE GRADO</v>
      </c>
      <c r="G117" s="0" t="s">
        <v>1363</v>
      </c>
      <c r="H117" s="0" t="s">
        <v>1236</v>
      </c>
    </row>
    <row r="118" customFormat="false" ht="14.65" hidden="false" customHeight="false" outlineLevel="0" collapsed="false">
      <c r="A118" s="43" t="s">
        <v>1364</v>
      </c>
      <c r="B118" s="44" t="s">
        <v>1075</v>
      </c>
      <c r="C118" s="45" t="s">
        <v>1365</v>
      </c>
      <c r="F118" s="0" t="str">
        <f aca="false">_xlfn.CONCAT(G118,H118)</f>
        <v>CNCX0001MATEMATICA I</v>
      </c>
      <c r="G118" s="0" t="s">
        <v>1366</v>
      </c>
      <c r="H118" s="0" t="s">
        <v>1365</v>
      </c>
    </row>
    <row r="119" customFormat="false" ht="14.65" hidden="false" customHeight="false" outlineLevel="0" collapsed="false">
      <c r="A119" s="43" t="s">
        <v>1258</v>
      </c>
      <c r="B119" s="44" t="s">
        <v>1367</v>
      </c>
      <c r="C119" s="45" t="s">
        <v>1368</v>
      </c>
      <c r="F119" s="0" t="str">
        <f aca="false">_xlfn.CONCAT(G119,H119)</f>
        <v>CSID0101INGLES I</v>
      </c>
      <c r="G119" s="0" t="s">
        <v>1369</v>
      </c>
      <c r="H119" s="0" t="s">
        <v>1368</v>
      </c>
    </row>
    <row r="120" customFormat="false" ht="14.65" hidden="false" customHeight="false" outlineLevel="0" collapsed="false">
      <c r="A120" s="43" t="s">
        <v>1370</v>
      </c>
      <c r="B120" s="44" t="s">
        <v>1367</v>
      </c>
      <c r="C120" s="45" t="s">
        <v>1371</v>
      </c>
      <c r="F120" s="0" t="str">
        <f aca="false">_xlfn.CONCAT(G120,H120)</f>
        <v>INTI0101COMPUTACION I</v>
      </c>
      <c r="G120" s="0" t="s">
        <v>1372</v>
      </c>
      <c r="H120" s="0" t="s">
        <v>1371</v>
      </c>
    </row>
    <row r="121" customFormat="false" ht="14.65" hidden="false" customHeight="false" outlineLevel="0" collapsed="false">
      <c r="A121" s="43" t="s">
        <v>1178</v>
      </c>
      <c r="B121" s="44" t="s">
        <v>1138</v>
      </c>
      <c r="C121" s="45" t="s">
        <v>1373</v>
      </c>
      <c r="F121" s="0" t="str">
        <f aca="false">_xlfn.CONCAT(G121,H121)</f>
        <v>AHCN0025ADM DE RECURSOS HUMANOS</v>
      </c>
      <c r="G121" s="0" t="s">
        <v>1374</v>
      </c>
      <c r="H121" s="0" t="s">
        <v>1373</v>
      </c>
    </row>
    <row r="122" customFormat="false" ht="14.65" hidden="false" customHeight="false" outlineLevel="0" collapsed="false">
      <c r="A122" s="43" t="s">
        <v>1178</v>
      </c>
      <c r="B122" s="44" t="s">
        <v>1087</v>
      </c>
      <c r="C122" s="45" t="s">
        <v>1375</v>
      </c>
      <c r="F122" s="0" t="str">
        <f aca="false">_xlfn.CONCAT(G122,H122)</f>
        <v>AHCN0006CONTABILIDAD II</v>
      </c>
      <c r="G122" s="0" t="s">
        <v>1376</v>
      </c>
      <c r="H122" s="0" t="s">
        <v>1375</v>
      </c>
    </row>
    <row r="123" customFormat="false" ht="14.65" hidden="false" customHeight="false" outlineLevel="0" collapsed="false">
      <c r="A123" s="43" t="s">
        <v>1364</v>
      </c>
      <c r="B123" s="44" t="s">
        <v>1078</v>
      </c>
      <c r="C123" s="45" t="s">
        <v>1377</v>
      </c>
      <c r="F123" s="0" t="str">
        <f aca="false">_xlfn.CONCAT(G123,H123)</f>
        <v>CNCX0002MATEMATICA II</v>
      </c>
      <c r="G123" s="0" t="s">
        <v>1378</v>
      </c>
      <c r="H123" s="0" t="s">
        <v>1377</v>
      </c>
    </row>
    <row r="124" customFormat="false" ht="14.65" hidden="false" customHeight="false" outlineLevel="0" collapsed="false">
      <c r="A124" s="43" t="s">
        <v>1258</v>
      </c>
      <c r="B124" s="44" t="s">
        <v>1379</v>
      </c>
      <c r="C124" s="45" t="s">
        <v>1380</v>
      </c>
      <c r="F124" s="0" t="str">
        <f aca="false">_xlfn.CONCAT(G124,H124)</f>
        <v>CSID0102INGLES II</v>
      </c>
      <c r="G124" s="0" t="s">
        <v>1381</v>
      </c>
      <c r="H124" s="0" t="s">
        <v>1380</v>
      </c>
    </row>
    <row r="125" customFormat="false" ht="14.65" hidden="false" customHeight="false" outlineLevel="0" collapsed="false">
      <c r="A125" s="43" t="s">
        <v>1370</v>
      </c>
      <c r="B125" s="44" t="s">
        <v>1379</v>
      </c>
      <c r="C125" s="45" t="s">
        <v>1382</v>
      </c>
      <c r="F125" s="0" t="str">
        <f aca="false">_xlfn.CONCAT(G125,H125)</f>
        <v>INTI0102COMPUTACION II</v>
      </c>
      <c r="G125" s="0" t="s">
        <v>1383</v>
      </c>
      <c r="H125" s="0" t="s">
        <v>1382</v>
      </c>
    </row>
    <row r="126" customFormat="false" ht="14.65" hidden="false" customHeight="false" outlineLevel="0" collapsed="false">
      <c r="A126" s="43" t="s">
        <v>1364</v>
      </c>
      <c r="B126" s="44" t="s">
        <v>1081</v>
      </c>
      <c r="C126" s="45" t="s">
        <v>1384</v>
      </c>
      <c r="F126" s="0" t="str">
        <f aca="false">_xlfn.CONCAT(G126,H126)</f>
        <v>CNCX0003ESTADISTICA I</v>
      </c>
      <c r="G126" s="0" t="s">
        <v>1385</v>
      </c>
      <c r="H126" s="0" t="s">
        <v>1384</v>
      </c>
    </row>
    <row r="127" customFormat="false" ht="14.65" hidden="false" customHeight="false" outlineLevel="0" collapsed="false">
      <c r="A127" s="43" t="s">
        <v>1178</v>
      </c>
      <c r="B127" s="44" t="s">
        <v>1129</v>
      </c>
      <c r="C127" s="45" t="s">
        <v>1386</v>
      </c>
      <c r="F127" s="0" t="str">
        <f aca="false">_xlfn.CONCAT(G127,H127)</f>
        <v>AHCN0021MICROECONOMIA</v>
      </c>
      <c r="G127" s="0" t="s">
        <v>1387</v>
      </c>
      <c r="H127" s="0" t="s">
        <v>1386</v>
      </c>
    </row>
    <row r="128" customFormat="false" ht="14.65" hidden="false" customHeight="false" outlineLevel="0" collapsed="false">
      <c r="A128" s="43" t="s">
        <v>1178</v>
      </c>
      <c r="B128" s="44" t="s">
        <v>1388</v>
      </c>
      <c r="C128" s="45" t="s">
        <v>1389</v>
      </c>
      <c r="F128" s="0" t="str">
        <f aca="false">_xlfn.CONCAT(G128,H128)</f>
        <v>AHCN0066MATEMATICA FINANCIERA</v>
      </c>
      <c r="G128" s="0" t="s">
        <v>1390</v>
      </c>
      <c r="H128" s="0" t="s">
        <v>1389</v>
      </c>
    </row>
    <row r="129" customFormat="false" ht="14.65" hidden="false" customHeight="false" outlineLevel="0" collapsed="false">
      <c r="A129" s="43" t="s">
        <v>1364</v>
      </c>
      <c r="B129" s="44" t="s">
        <v>1162</v>
      </c>
      <c r="C129" s="45" t="s">
        <v>1391</v>
      </c>
      <c r="F129" s="0" t="str">
        <f aca="false">_xlfn.CONCAT(G129,H129)</f>
        <v>CNCX0004ESTADISTICA II</v>
      </c>
      <c r="G129" s="0" t="s">
        <v>1392</v>
      </c>
      <c r="H129" s="0" t="s">
        <v>1391</v>
      </c>
    </row>
    <row r="130" customFormat="false" ht="14.65" hidden="false" customHeight="false" outlineLevel="0" collapsed="false">
      <c r="A130" s="43" t="s">
        <v>1178</v>
      </c>
      <c r="B130" s="44" t="s">
        <v>1153</v>
      </c>
      <c r="C130" s="45" t="s">
        <v>1393</v>
      </c>
      <c r="F130" s="0" t="str">
        <f aca="false">_xlfn.CONCAT(G130,H130)</f>
        <v>AHCN0028MACROECONOMIA I</v>
      </c>
      <c r="G130" s="0" t="s">
        <v>1394</v>
      </c>
      <c r="H130" s="0" t="s">
        <v>1393</v>
      </c>
    </row>
    <row r="131" customFormat="false" ht="14.65" hidden="false" customHeight="false" outlineLevel="0" collapsed="false">
      <c r="A131" s="43" t="s">
        <v>1178</v>
      </c>
      <c r="B131" s="44" t="s">
        <v>1395</v>
      </c>
      <c r="C131" s="45" t="s">
        <v>1396</v>
      </c>
      <c r="F131" s="0" t="str">
        <f aca="false">_xlfn.CONCAT(G131,H131)</f>
        <v>AHCN0034TECNICAS INVEST Y PRESENTACION</v>
      </c>
      <c r="G131" s="0" t="s">
        <v>1397</v>
      </c>
      <c r="H131" s="0" t="s">
        <v>1396</v>
      </c>
    </row>
    <row r="132" customFormat="false" ht="14.65" hidden="false" customHeight="false" outlineLevel="0" collapsed="false">
      <c r="A132" s="43" t="s">
        <v>1178</v>
      </c>
      <c r="B132" s="44" t="s">
        <v>1102</v>
      </c>
      <c r="C132" s="45" t="s">
        <v>1398</v>
      </c>
      <c r="F132" s="0" t="str">
        <f aca="false">_xlfn.CONCAT(G132,H132)</f>
        <v>AHCN0011INVESTIGACION DE OPERACIONES</v>
      </c>
      <c r="G132" s="0" t="s">
        <v>1399</v>
      </c>
      <c r="H132" s="0" t="s">
        <v>1398</v>
      </c>
    </row>
    <row r="133" customFormat="false" ht="14.65" hidden="false" customHeight="false" outlineLevel="0" collapsed="false">
      <c r="A133" s="43" t="s">
        <v>1178</v>
      </c>
      <c r="B133" s="44" t="s">
        <v>1114</v>
      </c>
      <c r="C133" s="45" t="s">
        <v>1400</v>
      </c>
      <c r="F133" s="0" t="str">
        <f aca="false">_xlfn.CONCAT(G133,H133)</f>
        <v>AHCN0015MERCADEO I</v>
      </c>
      <c r="G133" s="0" t="s">
        <v>1401</v>
      </c>
      <c r="H133" s="0" t="s">
        <v>1400</v>
      </c>
    </row>
    <row r="134" customFormat="false" ht="14.65" hidden="false" customHeight="false" outlineLevel="0" collapsed="false">
      <c r="A134" s="43" t="s">
        <v>1178</v>
      </c>
      <c r="B134" s="44" t="s">
        <v>1111</v>
      </c>
      <c r="C134" s="45" t="s">
        <v>1402</v>
      </c>
      <c r="F134" s="0" t="str">
        <f aca="false">_xlfn.CONCAT(G134,H134)</f>
        <v>AHCN0014CONTABILIDAD DE COSTOS I</v>
      </c>
      <c r="G134" s="0" t="s">
        <v>1403</v>
      </c>
      <c r="H134" s="0" t="s">
        <v>1402</v>
      </c>
    </row>
    <row r="135" customFormat="false" ht="14.65" hidden="false" customHeight="false" outlineLevel="0" collapsed="false">
      <c r="A135" s="43" t="s">
        <v>1178</v>
      </c>
      <c r="B135" s="44" t="s">
        <v>1120</v>
      </c>
      <c r="C135" s="45" t="s">
        <v>1404</v>
      </c>
      <c r="F135" s="0" t="str">
        <f aca="false">_xlfn.CONCAT(G135,H135)</f>
        <v>AHCN0017FINANZAS II</v>
      </c>
      <c r="G135" s="0" t="s">
        <v>1405</v>
      </c>
      <c r="H135" s="0" t="s">
        <v>1404</v>
      </c>
    </row>
    <row r="136" customFormat="false" ht="14.65" hidden="false" customHeight="false" outlineLevel="0" collapsed="false">
      <c r="A136" s="43" t="s">
        <v>1178</v>
      </c>
      <c r="B136" s="44" t="s">
        <v>1147</v>
      </c>
      <c r="C136" s="45" t="s">
        <v>1406</v>
      </c>
      <c r="F136" s="0" t="str">
        <f aca="false">_xlfn.CONCAT(G136,H136)</f>
        <v>AHCN0027CONTROL GERENCIAL</v>
      </c>
      <c r="G136" s="0" t="s">
        <v>1407</v>
      </c>
      <c r="H136" s="0" t="s">
        <v>1406</v>
      </c>
    </row>
    <row r="137" customFormat="false" ht="14.65" hidden="false" customHeight="false" outlineLevel="0" collapsed="false">
      <c r="A137" s="43" t="s">
        <v>1408</v>
      </c>
      <c r="B137" s="44" t="s">
        <v>1138</v>
      </c>
      <c r="C137" s="45" t="s">
        <v>1409</v>
      </c>
      <c r="F137" s="0" t="str">
        <f aca="false">_xlfn.CONCAT(G137,H137)</f>
        <v>INIG0025PRODUCCION</v>
      </c>
      <c r="G137" s="0" t="s">
        <v>1410</v>
      </c>
      <c r="H137" s="0" t="s">
        <v>1409</v>
      </c>
    </row>
    <row r="138" customFormat="false" ht="14.65" hidden="false" customHeight="false" outlineLevel="0" collapsed="false">
      <c r="A138" s="43" t="s">
        <v>1178</v>
      </c>
      <c r="B138" s="44" t="s">
        <v>1168</v>
      </c>
      <c r="C138" s="45" t="s">
        <v>1411</v>
      </c>
      <c r="F138" s="0" t="str">
        <f aca="false">_xlfn.CONCAT(G138,H138)</f>
        <v>AHCN0024MERCADEO II</v>
      </c>
      <c r="G138" s="0" t="s">
        <v>1412</v>
      </c>
      <c r="H138" s="0" t="s">
        <v>1411</v>
      </c>
    </row>
    <row r="139" customFormat="false" ht="14.65" hidden="false" customHeight="false" outlineLevel="0" collapsed="false">
      <c r="A139" s="43" t="s">
        <v>1178</v>
      </c>
      <c r="B139" s="44" t="s">
        <v>1144</v>
      </c>
      <c r="C139" s="45" t="s">
        <v>1413</v>
      </c>
      <c r="F139" s="0" t="str">
        <f aca="false">_xlfn.CONCAT(G139,H139)</f>
        <v>AHCN0026LEGISLACION LABORAL</v>
      </c>
      <c r="G139" s="0" t="s">
        <v>1414</v>
      </c>
      <c r="H139" s="0" t="s">
        <v>1413</v>
      </c>
    </row>
    <row r="140" customFormat="false" ht="14.65" hidden="false" customHeight="false" outlineLevel="0" collapsed="false">
      <c r="A140" s="43" t="s">
        <v>1178</v>
      </c>
      <c r="B140" s="44" t="s">
        <v>1415</v>
      </c>
      <c r="C140" s="45" t="s">
        <v>1416</v>
      </c>
      <c r="F140" s="0" t="str">
        <f aca="false">_xlfn.CONCAT(G140,H140)</f>
        <v>AHCN0033ADMINISTRACION BURSATIL</v>
      </c>
      <c r="G140" s="0" t="s">
        <v>1417</v>
      </c>
      <c r="H140" s="0" t="s">
        <v>1416</v>
      </c>
    </row>
    <row r="141" customFormat="false" ht="14.65" hidden="false" customHeight="false" outlineLevel="0" collapsed="false">
      <c r="A141" s="43" t="s">
        <v>1178</v>
      </c>
      <c r="B141" s="44" t="s">
        <v>1126</v>
      </c>
      <c r="C141" s="45" t="s">
        <v>1418</v>
      </c>
      <c r="F141" s="0" t="str">
        <f aca="false">_xlfn.CONCAT(G141,H141)</f>
        <v>AHCN0019COMERCIO INTERNACIONAL</v>
      </c>
      <c r="G141" s="0" t="s">
        <v>1419</v>
      </c>
      <c r="H141" s="0" t="s">
        <v>1418</v>
      </c>
    </row>
    <row r="142" customFormat="false" ht="14.65" hidden="false" customHeight="false" outlineLevel="0" collapsed="false">
      <c r="A142" s="43" t="s">
        <v>1178</v>
      </c>
      <c r="B142" s="44" t="s">
        <v>1123</v>
      </c>
      <c r="C142" s="45" t="s">
        <v>1420</v>
      </c>
      <c r="F142" s="0" t="str">
        <f aca="false">_xlfn.CONCAT(G142,H142)</f>
        <v>AHCN0018ESTRATEGIA EMPRESARIAL</v>
      </c>
      <c r="G142" s="0" t="s">
        <v>1421</v>
      </c>
      <c r="H142" s="0" t="s">
        <v>1420</v>
      </c>
    </row>
    <row r="143" customFormat="false" ht="14.65" hidden="false" customHeight="false" outlineLevel="0" collapsed="false">
      <c r="A143" s="43" t="s">
        <v>1178</v>
      </c>
      <c r="B143" s="44" t="s">
        <v>1099</v>
      </c>
      <c r="C143" s="45" t="s">
        <v>1329</v>
      </c>
      <c r="F143" s="0" t="str">
        <f aca="false">_xlfn.CONCAT(G143,H143)</f>
        <v>AHCN0010INVESTIGACION DE MERCADOS</v>
      </c>
      <c r="G143" s="0" t="s">
        <v>1422</v>
      </c>
      <c r="H143" s="0" t="s">
        <v>1329</v>
      </c>
    </row>
    <row r="144" customFormat="false" ht="14.65" hidden="false" customHeight="false" outlineLevel="0" collapsed="false">
      <c r="A144" s="43" t="s">
        <v>1178</v>
      </c>
      <c r="B144" s="44" t="s">
        <v>1159</v>
      </c>
      <c r="C144" s="45" t="s">
        <v>1423</v>
      </c>
      <c r="F144" s="0" t="str">
        <f aca="false">_xlfn.CONCAT(G144,H144)</f>
        <v>AHCN0032TOMA DE DECISIONES FINANCIERAS</v>
      </c>
      <c r="G144" s="0" t="s">
        <v>1424</v>
      </c>
      <c r="H144" s="0" t="s">
        <v>1423</v>
      </c>
    </row>
    <row r="145" customFormat="false" ht="14.65" hidden="false" customHeight="false" outlineLevel="0" collapsed="false">
      <c r="A145" s="43" t="s">
        <v>1178</v>
      </c>
      <c r="B145" s="44" t="s">
        <v>1165</v>
      </c>
      <c r="C145" s="45" t="s">
        <v>1425</v>
      </c>
      <c r="F145" s="0" t="str">
        <f aca="false">_xlfn.CONCAT(G145,H145)</f>
        <v>AHCN0020DECISIONES GERENCIALES I</v>
      </c>
      <c r="G145" s="0" t="s">
        <v>1426</v>
      </c>
      <c r="H145" s="0" t="s">
        <v>1425</v>
      </c>
    </row>
    <row r="146" customFormat="false" ht="14.65" hidden="false" customHeight="false" outlineLevel="0" collapsed="false">
      <c r="A146" s="43" t="s">
        <v>1178</v>
      </c>
      <c r="B146" s="44" t="s">
        <v>1150</v>
      </c>
      <c r="C146" s="45" t="s">
        <v>1427</v>
      </c>
      <c r="F146" s="0" t="str">
        <f aca="false">_xlfn.CONCAT(G146,H146)</f>
        <v>AHCN0030GERENCIA DE RECURSOS HUMANOS</v>
      </c>
      <c r="G146" s="0" t="s">
        <v>1428</v>
      </c>
      <c r="H146" s="0" t="s">
        <v>1427</v>
      </c>
    </row>
    <row r="147" customFormat="false" ht="14.65" hidden="false" customHeight="false" outlineLevel="0" collapsed="false">
      <c r="A147" s="43" t="s">
        <v>1178</v>
      </c>
      <c r="B147" s="44" t="s">
        <v>1429</v>
      </c>
      <c r="C147" s="45" t="s">
        <v>1430</v>
      </c>
      <c r="F147" s="0" t="str">
        <f aca="false">_xlfn.CONCAT(G147,H147)</f>
        <v>AHCN0097ADMINISTRACION DEL TIEMPO</v>
      </c>
      <c r="G147" s="0" t="s">
        <v>1431</v>
      </c>
      <c r="H147" s="0" t="s">
        <v>1430</v>
      </c>
    </row>
    <row r="148" customFormat="false" ht="14.65" hidden="false" customHeight="false" outlineLevel="0" collapsed="false">
      <c r="A148" s="43" t="s">
        <v>1178</v>
      </c>
      <c r="B148" s="44" t="s">
        <v>1432</v>
      </c>
      <c r="C148" s="45" t="s">
        <v>1433</v>
      </c>
      <c r="F148" s="0" t="str">
        <f aca="false">_xlfn.CONCAT(G148,H148)</f>
        <v>AHCN0098PLAN DE VIDA Y CARRERA</v>
      </c>
      <c r="G148" s="0" t="s">
        <v>1434</v>
      </c>
      <c r="H148" s="0" t="s">
        <v>1433</v>
      </c>
    </row>
    <row r="149" customFormat="false" ht="14.65" hidden="false" customHeight="false" outlineLevel="0" collapsed="false">
      <c r="A149" s="43" t="s">
        <v>1178</v>
      </c>
      <c r="B149" s="44" t="s">
        <v>1078</v>
      </c>
      <c r="C149" s="45" t="s">
        <v>1435</v>
      </c>
      <c r="F149" s="0" t="str">
        <f aca="false">_xlfn.CONCAT(G149,H149)</f>
        <v>AHCN0002METODOLOGIA DE LA INVESTIGAC</v>
      </c>
      <c r="G149" s="0" t="s">
        <v>1436</v>
      </c>
      <c r="H149" s="0" t="s">
        <v>1435</v>
      </c>
    </row>
    <row r="150" customFormat="false" ht="14.65" hidden="false" customHeight="false" outlineLevel="0" collapsed="false">
      <c r="A150" s="43" t="s">
        <v>1178</v>
      </c>
      <c r="B150" s="44" t="s">
        <v>1081</v>
      </c>
      <c r="C150" s="45" t="s">
        <v>1437</v>
      </c>
      <c r="F150" s="0" t="str">
        <f aca="false">_xlfn.CONCAT(G150,H150)</f>
        <v>AHCN0003ADMINISTRACION GENERAL</v>
      </c>
      <c r="G150" s="0" t="s">
        <v>1438</v>
      </c>
      <c r="H150" s="0" t="s">
        <v>1437</v>
      </c>
    </row>
    <row r="151" customFormat="false" ht="14.65" hidden="false" customHeight="false" outlineLevel="0" collapsed="false">
      <c r="A151" s="43" t="s">
        <v>1178</v>
      </c>
      <c r="B151" s="44" t="s">
        <v>1117</v>
      </c>
      <c r="C151" s="45" t="s">
        <v>1389</v>
      </c>
      <c r="F151" s="0" t="str">
        <f aca="false">_xlfn.CONCAT(G151,H151)</f>
        <v>AHCN0016MATEMATICA FINANCIERA</v>
      </c>
      <c r="G151" s="0" t="s">
        <v>1439</v>
      </c>
      <c r="H151" s="0" t="s">
        <v>1389</v>
      </c>
    </row>
    <row r="152" customFormat="false" ht="14.65" hidden="false" customHeight="false" outlineLevel="0" collapsed="false">
      <c r="A152" s="43" t="s">
        <v>1178</v>
      </c>
      <c r="B152" s="44" t="s">
        <v>1093</v>
      </c>
      <c r="C152" s="45" t="s">
        <v>1440</v>
      </c>
      <c r="F152" s="0" t="str">
        <f aca="false">_xlfn.CONCAT(G152,H152)</f>
        <v>AHCN0008GEST Y DESARR TALENTO HUMANO</v>
      </c>
      <c r="G152" s="0" t="s">
        <v>1441</v>
      </c>
      <c r="H152" s="0" t="s">
        <v>1440</v>
      </c>
    </row>
    <row r="153" customFormat="false" ht="14.65" hidden="false" customHeight="false" outlineLevel="0" collapsed="false">
      <c r="A153" s="43" t="s">
        <v>1178</v>
      </c>
      <c r="B153" s="44" t="s">
        <v>1084</v>
      </c>
      <c r="C153" s="45" t="s">
        <v>1442</v>
      </c>
      <c r="F153" s="0" t="str">
        <f aca="false">_xlfn.CONCAT(G153,H153)</f>
        <v>AHCN0005MERCADEO</v>
      </c>
      <c r="G153" s="0" t="s">
        <v>1443</v>
      </c>
      <c r="H153" s="0" t="s">
        <v>1442</v>
      </c>
    </row>
    <row r="154" customFormat="false" ht="14.65" hidden="false" customHeight="false" outlineLevel="0" collapsed="false">
      <c r="A154" s="43" t="s">
        <v>1178</v>
      </c>
      <c r="B154" s="44" t="s">
        <v>1132</v>
      </c>
      <c r="C154" s="45" t="s">
        <v>1444</v>
      </c>
      <c r="F154" s="0" t="str">
        <f aca="false">_xlfn.CONCAT(G154,H154)</f>
        <v>AHCN0022APLIC TECNO PARA TOMA DE DECIS</v>
      </c>
      <c r="G154" s="0" t="s">
        <v>1445</v>
      </c>
      <c r="H154" s="0" t="s">
        <v>1444</v>
      </c>
    </row>
    <row r="155" customFormat="false" ht="14.65" hidden="false" customHeight="false" outlineLevel="0" collapsed="false">
      <c r="A155" s="43" t="s">
        <v>1178</v>
      </c>
      <c r="B155" s="44" t="s">
        <v>1135</v>
      </c>
      <c r="C155" s="45" t="s">
        <v>862</v>
      </c>
      <c r="F155" s="0" t="str">
        <f aca="false">_xlfn.CONCAT(G155,H155)</f>
        <v>AHCN0023MERCADEO GERENCIAL</v>
      </c>
      <c r="G155" s="0" t="s">
        <v>1446</v>
      </c>
      <c r="H155" s="0" t="s">
        <v>862</v>
      </c>
    </row>
    <row r="156" customFormat="false" ht="14.65" hidden="false" customHeight="false" outlineLevel="0" collapsed="false">
      <c r="A156" s="43" t="s">
        <v>1178</v>
      </c>
      <c r="B156" s="44" t="s">
        <v>1156</v>
      </c>
      <c r="C156" s="45" t="s">
        <v>1447</v>
      </c>
      <c r="F156" s="0" t="str">
        <f aca="false">_xlfn.CONCAT(G156,H156)</f>
        <v>AHCN0031PLANIFICACION Y DESARR EMPRESA</v>
      </c>
      <c r="G156" s="0" t="s">
        <v>1448</v>
      </c>
      <c r="H156" s="0" t="s">
        <v>1447</v>
      </c>
    </row>
    <row r="157" customFormat="false" ht="14.65" hidden="false" customHeight="false" outlineLevel="0" collapsed="false">
      <c r="A157" s="43" t="s">
        <v>1178</v>
      </c>
      <c r="B157" s="44" t="s">
        <v>1449</v>
      </c>
      <c r="C157" s="45" t="s">
        <v>1450</v>
      </c>
      <c r="F157" s="0" t="str">
        <f aca="false">_xlfn.CONCAT(G157,H157)</f>
        <v>AHCN0037LIDERAZGO GERENCIAL</v>
      </c>
      <c r="G157" s="0" t="s">
        <v>1451</v>
      </c>
      <c r="H157" s="0" t="s">
        <v>1450</v>
      </c>
    </row>
    <row r="158" customFormat="false" ht="14.65" hidden="false" customHeight="false" outlineLevel="0" collapsed="false">
      <c r="A158" s="43" t="s">
        <v>1178</v>
      </c>
      <c r="B158" s="44" t="s">
        <v>1452</v>
      </c>
      <c r="C158" s="45" t="s">
        <v>484</v>
      </c>
      <c r="F158" s="0" t="str">
        <f aca="false">_xlfn.CONCAT(G158,H158)</f>
        <v>AHCN0056ELECTIVA</v>
      </c>
      <c r="G158" s="0" t="s">
        <v>1453</v>
      </c>
      <c r="H158" s="0" t="s">
        <v>484</v>
      </c>
    </row>
    <row r="159" customFormat="false" ht="14.65" hidden="false" customHeight="false" outlineLevel="0" collapsed="false">
      <c r="A159" s="43" t="s">
        <v>1370</v>
      </c>
      <c r="B159" s="44" t="s">
        <v>1150</v>
      </c>
      <c r="C159" s="45" t="s">
        <v>1454</v>
      </c>
      <c r="F159" s="0" t="str">
        <f aca="false">_xlfn.CONCAT(G159,H159)</f>
        <v>INTI0030TECNOL  INFORM Y DEL CONOCIM</v>
      </c>
      <c r="G159" s="0" t="s">
        <v>1455</v>
      </c>
      <c r="H159" s="0" t="s">
        <v>1454</v>
      </c>
    </row>
    <row r="160" customFormat="false" ht="14.65" hidden="false" customHeight="false" outlineLevel="0" collapsed="false">
      <c r="A160" s="43" t="s">
        <v>1178</v>
      </c>
      <c r="B160" s="44" t="s">
        <v>1456</v>
      </c>
      <c r="C160" s="45" t="s">
        <v>1457</v>
      </c>
      <c r="F160" s="0" t="str">
        <f aca="false">_xlfn.CONCAT(G160,H160)</f>
        <v>AHCN0092COMERCIO ELECTRONICO</v>
      </c>
      <c r="G160" s="0" t="s">
        <v>1458</v>
      </c>
      <c r="H160" s="0" t="s">
        <v>1457</v>
      </c>
    </row>
    <row r="161" customFormat="false" ht="14.65" hidden="false" customHeight="false" outlineLevel="0" collapsed="false">
      <c r="A161" s="43" t="s">
        <v>1178</v>
      </c>
      <c r="B161" s="44" t="s">
        <v>1459</v>
      </c>
      <c r="C161" s="45" t="s">
        <v>1460</v>
      </c>
      <c r="F161" s="0" t="str">
        <f aca="false">_xlfn.CONCAT(G161,H161)</f>
        <v>AHCN0091INTROD A INTELIG DE NEGOCIOS</v>
      </c>
      <c r="G161" s="0" t="s">
        <v>1461</v>
      </c>
      <c r="H161" s="0" t="s">
        <v>1460</v>
      </c>
    </row>
    <row r="162" customFormat="false" ht="14.65" hidden="false" customHeight="false" outlineLevel="0" collapsed="false">
      <c r="A162" s="43" t="s">
        <v>1178</v>
      </c>
      <c r="B162" s="44" t="s">
        <v>1462</v>
      </c>
      <c r="C162" s="45" t="s">
        <v>1463</v>
      </c>
      <c r="F162" s="0" t="str">
        <f aca="false">_xlfn.CONCAT(G162,H162)</f>
        <v>AHCN0062GERENCIA DEL TALENTO HUMANO</v>
      </c>
      <c r="G162" s="0" t="s">
        <v>1464</v>
      </c>
      <c r="H162" s="0" t="s">
        <v>1463</v>
      </c>
    </row>
    <row r="163" customFormat="false" ht="14.65" hidden="false" customHeight="false" outlineLevel="0" collapsed="false">
      <c r="A163" s="43" t="s">
        <v>1178</v>
      </c>
      <c r="B163" s="44" t="s">
        <v>1465</v>
      </c>
      <c r="C163" s="45" t="s">
        <v>1466</v>
      </c>
      <c r="F163" s="0" t="str">
        <f aca="false">_xlfn.CONCAT(G163,H163)</f>
        <v>AHCN0059ETICA EMPRESARIAL</v>
      </c>
      <c r="G163" s="0" t="s">
        <v>1467</v>
      </c>
      <c r="H163" s="0" t="s">
        <v>1466</v>
      </c>
    </row>
    <row r="164" customFormat="false" ht="14.65" hidden="false" customHeight="false" outlineLevel="0" collapsed="false">
      <c r="A164" s="43" t="s">
        <v>1178</v>
      </c>
      <c r="B164" s="44" t="s">
        <v>1105</v>
      </c>
      <c r="C164" s="45" t="s">
        <v>1413</v>
      </c>
      <c r="F164" s="0" t="str">
        <f aca="false">_xlfn.CONCAT(G164,H164)</f>
        <v>AHCN0012LEGISLACION LABORAL</v>
      </c>
      <c r="G164" s="0" t="s">
        <v>1468</v>
      </c>
      <c r="H164" s="0" t="s">
        <v>1413</v>
      </c>
    </row>
    <row r="165" customFormat="false" ht="14.65" hidden="false" customHeight="false" outlineLevel="0" collapsed="false">
      <c r="A165" s="43" t="s">
        <v>1178</v>
      </c>
      <c r="B165" s="44" t="s">
        <v>1141</v>
      </c>
      <c r="C165" s="45" t="s">
        <v>1420</v>
      </c>
      <c r="F165" s="0" t="str">
        <f aca="false">_xlfn.CONCAT(G165,H165)</f>
        <v>AHCN0029ESTRATEGIA EMPRESARIAL</v>
      </c>
      <c r="G165" s="0" t="s">
        <v>1469</v>
      </c>
      <c r="H165" s="0" t="s">
        <v>1420</v>
      </c>
    </row>
    <row r="166" customFormat="false" ht="14.65" hidden="false" customHeight="false" outlineLevel="0" collapsed="false">
      <c r="A166" s="43" t="s">
        <v>1178</v>
      </c>
      <c r="B166" s="44" t="s">
        <v>1470</v>
      </c>
      <c r="C166" s="45" t="s">
        <v>1471</v>
      </c>
      <c r="F166" s="0" t="str">
        <f aca="false">_xlfn.CONCAT(G166,H166)</f>
        <v>AHCN0053DESARROLLO PRODUC Y PRECIOS</v>
      </c>
      <c r="G166" s="0" t="s">
        <v>1472</v>
      </c>
      <c r="H166" s="0" t="s">
        <v>1471</v>
      </c>
    </row>
    <row r="167" customFormat="false" ht="14.65" hidden="false" customHeight="false" outlineLevel="0" collapsed="false">
      <c r="A167" s="43" t="s">
        <v>1178</v>
      </c>
      <c r="B167" s="44" t="s">
        <v>1473</v>
      </c>
      <c r="C167" s="45" t="s">
        <v>1474</v>
      </c>
      <c r="F167" s="0" t="str">
        <f aca="false">_xlfn.CONCAT(G167,H167)</f>
        <v>AHCN0041ADMIN METODOLOGIA Y VENTAS</v>
      </c>
      <c r="G167" s="0" t="s">
        <v>1475</v>
      </c>
      <c r="H167" s="0" t="s">
        <v>1474</v>
      </c>
    </row>
    <row r="168" customFormat="false" ht="14.65" hidden="false" customHeight="false" outlineLevel="0" collapsed="false">
      <c r="A168" s="43" t="s">
        <v>1178</v>
      </c>
      <c r="B168" s="44" t="s">
        <v>1476</v>
      </c>
      <c r="C168" s="45" t="s">
        <v>1477</v>
      </c>
      <c r="F168" s="0" t="str">
        <f aca="false">_xlfn.CONCAT(G168,H168)</f>
        <v>AHCN0067DECISIONES GERENCIALES</v>
      </c>
      <c r="G168" s="0" t="s">
        <v>1478</v>
      </c>
      <c r="H168" s="0" t="s">
        <v>1477</v>
      </c>
    </row>
    <row r="169" customFormat="false" ht="14.65" hidden="false" customHeight="false" outlineLevel="0" collapsed="false">
      <c r="A169" s="43" t="s">
        <v>1178</v>
      </c>
      <c r="B169" s="44" t="s">
        <v>1479</v>
      </c>
      <c r="C169" s="45" t="s">
        <v>1480</v>
      </c>
      <c r="F169" s="0" t="str">
        <f aca="false">_xlfn.CONCAT(G169,H169)</f>
        <v>AHCN0068PLAN DE MERCADEO</v>
      </c>
      <c r="G169" s="0" t="s">
        <v>1481</v>
      </c>
      <c r="H169" s="0" t="s">
        <v>1480</v>
      </c>
    </row>
    <row r="170" customFormat="false" ht="14.65" hidden="false" customHeight="false" outlineLevel="0" collapsed="false">
      <c r="A170" s="43" t="s">
        <v>1178</v>
      </c>
      <c r="B170" s="44" t="s">
        <v>1482</v>
      </c>
      <c r="C170" s="45" t="s">
        <v>1483</v>
      </c>
      <c r="F170" s="0" t="str">
        <f aca="false">_xlfn.CONCAT(G170,H170)</f>
        <v>AHCN0036PSICOLOGIA GENERAL I</v>
      </c>
      <c r="G170" s="0" t="s">
        <v>1484</v>
      </c>
      <c r="H170" s="0" t="s">
        <v>1483</v>
      </c>
    </row>
    <row r="171" customFormat="false" ht="14.65" hidden="false" customHeight="false" outlineLevel="0" collapsed="false">
      <c r="A171" s="43" t="s">
        <v>1178</v>
      </c>
      <c r="B171" s="44" t="s">
        <v>1485</v>
      </c>
      <c r="C171" s="45" t="s">
        <v>1486</v>
      </c>
      <c r="F171" s="0" t="str">
        <f aca="false">_xlfn.CONCAT(G171,H171)</f>
        <v>AHCN0038PSICOLOGIA GENERAL II</v>
      </c>
      <c r="G171" s="0" t="s">
        <v>1487</v>
      </c>
      <c r="H171" s="0" t="s">
        <v>1486</v>
      </c>
    </row>
    <row r="172" customFormat="false" ht="14.65" hidden="false" customHeight="false" outlineLevel="0" collapsed="false">
      <c r="A172" s="43" t="s">
        <v>1178</v>
      </c>
      <c r="B172" s="44" t="s">
        <v>1488</v>
      </c>
      <c r="C172" s="45" t="s">
        <v>1489</v>
      </c>
      <c r="F172" s="0" t="str">
        <f aca="false">_xlfn.CONCAT(G172,H172)</f>
        <v>AHCN0039SOCIOLOGIA</v>
      </c>
      <c r="G172" s="0" t="s">
        <v>1490</v>
      </c>
      <c r="H172" s="0" t="s">
        <v>1489</v>
      </c>
    </row>
    <row r="173" customFormat="false" ht="14.65" hidden="false" customHeight="false" outlineLevel="0" collapsed="false">
      <c r="A173" s="43" t="s">
        <v>1178</v>
      </c>
      <c r="B173" s="44" t="s">
        <v>1491</v>
      </c>
      <c r="C173" s="45" t="s">
        <v>1492</v>
      </c>
      <c r="F173" s="0" t="str">
        <f aca="false">_xlfn.CONCAT(G173,H173)</f>
        <v>AHCN0070TECNICAS DE ADMINIST PERSONAL</v>
      </c>
      <c r="G173" s="0" t="s">
        <v>1493</v>
      </c>
      <c r="H173" s="0" t="s">
        <v>1492</v>
      </c>
    </row>
    <row r="174" customFormat="false" ht="14.65" hidden="false" customHeight="false" outlineLevel="0" collapsed="false">
      <c r="A174" s="43" t="s">
        <v>1178</v>
      </c>
      <c r="B174" s="44" t="s">
        <v>1096</v>
      </c>
      <c r="C174" s="45" t="s">
        <v>1494</v>
      </c>
      <c r="F174" s="0" t="str">
        <f aca="false">_xlfn.CONCAT(G174,H174)</f>
        <v>AHCN0009ADMINIST DE SUELDOS Y SALARIOS</v>
      </c>
      <c r="G174" s="0" t="s">
        <v>1495</v>
      </c>
      <c r="H174" s="0" t="s">
        <v>1494</v>
      </c>
    </row>
    <row r="175" customFormat="false" ht="14.65" hidden="false" customHeight="false" outlineLevel="0" collapsed="false">
      <c r="A175" s="43" t="s">
        <v>1178</v>
      </c>
      <c r="B175" s="44" t="s">
        <v>1496</v>
      </c>
      <c r="C175" s="45" t="s">
        <v>1497</v>
      </c>
      <c r="F175" s="0" t="str">
        <f aca="false">_xlfn.CONCAT(G175,H175)</f>
        <v>AHCN0055ECONOMIA LABORAL</v>
      </c>
      <c r="G175" s="0" t="s">
        <v>1498</v>
      </c>
      <c r="H175" s="0" t="s">
        <v>1497</v>
      </c>
    </row>
    <row r="176" customFormat="false" ht="14.65" hidden="false" customHeight="false" outlineLevel="0" collapsed="false">
      <c r="A176" s="43" t="s">
        <v>1178</v>
      </c>
      <c r="B176" s="44" t="s">
        <v>1499</v>
      </c>
      <c r="C176" s="45" t="s">
        <v>1500</v>
      </c>
      <c r="F176" s="0" t="str">
        <f aca="false">_xlfn.CONCAT(G176,H176)</f>
        <v>AHCN0058ESTILOS DE DIRECC DE PERSONAL</v>
      </c>
      <c r="G176" s="0" t="s">
        <v>1501</v>
      </c>
      <c r="H176" s="0" t="s">
        <v>1500</v>
      </c>
    </row>
    <row r="177" customFormat="false" ht="14.65" hidden="false" customHeight="false" outlineLevel="0" collapsed="false">
      <c r="A177" s="43" t="s">
        <v>1241</v>
      </c>
      <c r="B177" s="44" t="s">
        <v>1135</v>
      </c>
      <c r="C177" s="45" t="s">
        <v>1276</v>
      </c>
      <c r="F177" s="0" t="str">
        <f aca="false">_xlfn.CONCAT(G177,H177)</f>
        <v>CCAV0023APRECIACION DEL ARTE</v>
      </c>
      <c r="G177" s="0" t="s">
        <v>1502</v>
      </c>
      <c r="H177" s="0" t="s">
        <v>1276</v>
      </c>
    </row>
    <row r="178" customFormat="false" ht="14.65" hidden="false" customHeight="false" outlineLevel="0" collapsed="false">
      <c r="A178" s="43" t="s">
        <v>1370</v>
      </c>
      <c r="B178" s="44" t="s">
        <v>1503</v>
      </c>
      <c r="C178" s="45" t="s">
        <v>1504</v>
      </c>
      <c r="F178" s="0" t="str">
        <f aca="false">_xlfn.CONCAT(G178,H178)</f>
        <v>INTI0118INFORMATICA PARA ESTADISTICA</v>
      </c>
      <c r="G178" s="0" t="s">
        <v>1505</v>
      </c>
      <c r="H178" s="0" t="s">
        <v>1504</v>
      </c>
    </row>
    <row r="179" customFormat="false" ht="14.65" hidden="false" customHeight="false" outlineLevel="0" collapsed="false">
      <c r="A179" s="43" t="s">
        <v>1175</v>
      </c>
      <c r="B179" s="44" t="s">
        <v>1503</v>
      </c>
      <c r="C179" s="45" t="s">
        <v>1489</v>
      </c>
      <c r="F179" s="0" t="str">
        <f aca="false">_xlfn.CONCAT(G179,H179)</f>
        <v>CSCE0118SOCIOLOGIA</v>
      </c>
      <c r="G179" s="0" t="s">
        <v>1506</v>
      </c>
      <c r="H179" s="0" t="s">
        <v>1489</v>
      </c>
    </row>
    <row r="180" customFormat="false" ht="14.65" hidden="false" customHeight="false" outlineLevel="0" collapsed="false">
      <c r="A180" s="43" t="s">
        <v>1178</v>
      </c>
      <c r="B180" s="44" t="s">
        <v>1507</v>
      </c>
      <c r="C180" s="45" t="s">
        <v>1508</v>
      </c>
      <c r="F180" s="0" t="str">
        <f aca="false">_xlfn.CONCAT(G180,H180)</f>
        <v>AHCN0108COMUNICACION EMPRESARIAL</v>
      </c>
      <c r="G180" s="0" t="s">
        <v>1509</v>
      </c>
      <c r="H180" s="0" t="s">
        <v>1508</v>
      </c>
    </row>
    <row r="181" customFormat="false" ht="14.65" hidden="false" customHeight="false" outlineLevel="0" collapsed="false">
      <c r="A181" s="43" t="s">
        <v>1178</v>
      </c>
      <c r="B181" s="44" t="s">
        <v>1510</v>
      </c>
      <c r="C181" s="45" t="s">
        <v>1511</v>
      </c>
      <c r="F181" s="0" t="str">
        <f aca="false">_xlfn.CONCAT(G181,H181)</f>
        <v>AHCN0110ELECTIVA HUMANISTICA I</v>
      </c>
      <c r="G181" s="0" t="s">
        <v>1512</v>
      </c>
      <c r="H181" s="0" t="s">
        <v>1511</v>
      </c>
    </row>
    <row r="182" customFormat="false" ht="14.65" hidden="false" customHeight="false" outlineLevel="0" collapsed="false">
      <c r="A182" s="43" t="s">
        <v>1178</v>
      </c>
      <c r="B182" s="44" t="s">
        <v>1513</v>
      </c>
      <c r="C182" s="45" t="s">
        <v>1278</v>
      </c>
      <c r="F182" s="0" t="str">
        <f aca="false">_xlfn.CONCAT(G182,H182)</f>
        <v>AHCN0123TECNICAS DE COMUNICACION</v>
      </c>
      <c r="G182" s="0" t="s">
        <v>1514</v>
      </c>
      <c r="H182" s="0" t="s">
        <v>1278</v>
      </c>
    </row>
    <row r="183" customFormat="false" ht="14.65" hidden="false" customHeight="false" outlineLevel="0" collapsed="false">
      <c r="A183" s="43" t="s">
        <v>1175</v>
      </c>
      <c r="B183" s="44" t="s">
        <v>1515</v>
      </c>
      <c r="C183" s="45" t="s">
        <v>1516</v>
      </c>
      <c r="F183" s="0" t="str">
        <f aca="false">_xlfn.CONCAT(G183,H183)</f>
        <v>CSCE0117FILOSOFIA</v>
      </c>
      <c r="G183" s="0" t="s">
        <v>1517</v>
      </c>
      <c r="H183" s="0" t="s">
        <v>1516</v>
      </c>
    </row>
    <row r="184" customFormat="false" ht="14.65" hidden="false" customHeight="false" outlineLevel="0" collapsed="false">
      <c r="A184" s="43" t="s">
        <v>1178</v>
      </c>
      <c r="B184" s="44" t="s">
        <v>1518</v>
      </c>
      <c r="C184" s="45" t="s">
        <v>1519</v>
      </c>
      <c r="F184" s="0" t="str">
        <f aca="false">_xlfn.CONCAT(G184,H184)</f>
        <v>AHCN0111GERENCIA DE MERCADEO</v>
      </c>
      <c r="G184" s="0" t="s">
        <v>1520</v>
      </c>
      <c r="H184" s="0" t="s">
        <v>1519</v>
      </c>
    </row>
    <row r="185" customFormat="false" ht="14.65" hidden="false" customHeight="false" outlineLevel="0" collapsed="false">
      <c r="A185" s="43" t="s">
        <v>1364</v>
      </c>
      <c r="B185" s="44" t="s">
        <v>1259</v>
      </c>
      <c r="C185" s="45" t="s">
        <v>1521</v>
      </c>
      <c r="F185" s="0" t="str">
        <f aca="false">_xlfn.CONCAT(G185,H185)</f>
        <v>CNCX0060LOGICA Y ALGORITMOS</v>
      </c>
      <c r="G185" s="0" t="s">
        <v>1522</v>
      </c>
      <c r="H185" s="0" t="s">
        <v>1521</v>
      </c>
    </row>
    <row r="186" customFormat="false" ht="14.65" hidden="false" customHeight="false" outlineLevel="0" collapsed="false">
      <c r="A186" s="43" t="s">
        <v>1175</v>
      </c>
      <c r="B186" s="44" t="s">
        <v>1523</v>
      </c>
      <c r="C186" s="45" t="s">
        <v>1524</v>
      </c>
      <c r="F186" s="0" t="str">
        <f aca="false">_xlfn.CONCAT(G186,H186)</f>
        <v>CSCE0076MODELOS DE PENSAMIENTO</v>
      </c>
      <c r="G186" s="0" t="s">
        <v>1525</v>
      </c>
      <c r="H186" s="0" t="s">
        <v>1524</v>
      </c>
    </row>
    <row r="187" customFormat="false" ht="14.65" hidden="false" customHeight="false" outlineLevel="0" collapsed="false">
      <c r="A187" s="43" t="s">
        <v>1178</v>
      </c>
      <c r="B187" s="44" t="s">
        <v>1526</v>
      </c>
      <c r="C187" s="45" t="s">
        <v>1527</v>
      </c>
      <c r="F187" s="0" t="str">
        <f aca="false">_xlfn.CONCAT(G187,H187)</f>
        <v>AHCN0116METODOS Y TECNICAS DE INVESTIG</v>
      </c>
      <c r="G187" s="0" t="s">
        <v>1528</v>
      </c>
      <c r="H187" s="0" t="s">
        <v>1527</v>
      </c>
    </row>
    <row r="188" customFormat="false" ht="14.65" hidden="false" customHeight="false" outlineLevel="0" collapsed="false">
      <c r="A188" s="43" t="s">
        <v>1178</v>
      </c>
      <c r="B188" s="44" t="s">
        <v>1529</v>
      </c>
      <c r="C188" s="45" t="s">
        <v>1206</v>
      </c>
      <c r="F188" s="0" t="str">
        <f aca="false">_xlfn.CONCAT(G188,H188)</f>
        <v>AHCN0112ETICA PROFESIONAL</v>
      </c>
      <c r="G188" s="0" t="s">
        <v>1530</v>
      </c>
      <c r="H188" s="0" t="s">
        <v>1206</v>
      </c>
    </row>
    <row r="189" customFormat="false" ht="14.65" hidden="false" customHeight="false" outlineLevel="0" collapsed="false">
      <c r="A189" s="43" t="s">
        <v>1370</v>
      </c>
      <c r="B189" s="44" t="s">
        <v>1531</v>
      </c>
      <c r="C189" s="45" t="s">
        <v>1532</v>
      </c>
      <c r="F189" s="0" t="str">
        <f aca="false">_xlfn.CONCAT(G189,H189)</f>
        <v>INTI0047PROGRAMACION ESTADISTICA</v>
      </c>
      <c r="G189" s="0" t="s">
        <v>1533</v>
      </c>
      <c r="H189" s="0" t="s">
        <v>1532</v>
      </c>
    </row>
    <row r="190" customFormat="false" ht="14.65" hidden="false" customHeight="false" outlineLevel="0" collapsed="false">
      <c r="A190" s="43" t="s">
        <v>1364</v>
      </c>
      <c r="B190" s="44" t="s">
        <v>1120</v>
      </c>
      <c r="C190" s="45" t="s">
        <v>1534</v>
      </c>
      <c r="F190" s="0" t="str">
        <f aca="false">_xlfn.CONCAT(G190,H190)</f>
        <v>CNCX0017ESTADISTICA INFERENCIAL</v>
      </c>
      <c r="G190" s="0" t="s">
        <v>1535</v>
      </c>
      <c r="H190" s="0" t="s">
        <v>1534</v>
      </c>
    </row>
    <row r="191" customFormat="false" ht="14.65" hidden="false" customHeight="false" outlineLevel="0" collapsed="false">
      <c r="A191" s="43" t="s">
        <v>1178</v>
      </c>
      <c r="B191" s="44" t="s">
        <v>1536</v>
      </c>
      <c r="C191" s="45" t="s">
        <v>1537</v>
      </c>
      <c r="F191" s="0" t="str">
        <f aca="false">_xlfn.CONCAT(G191,H191)</f>
        <v>AHCN0107CALIDAD PROFESIONAL</v>
      </c>
      <c r="G191" s="0" t="s">
        <v>1538</v>
      </c>
      <c r="H191" s="0" t="s">
        <v>1537</v>
      </c>
    </row>
    <row r="192" customFormat="false" ht="14.65" hidden="false" customHeight="false" outlineLevel="0" collapsed="false">
      <c r="A192" s="43" t="s">
        <v>1178</v>
      </c>
      <c r="B192" s="44" t="s">
        <v>1503</v>
      </c>
      <c r="C192" s="45" t="s">
        <v>1539</v>
      </c>
      <c r="F192" s="0" t="str">
        <f aca="false">_xlfn.CONCAT(G192,H192)</f>
        <v>AHCN0118PAQUETES ESTAD ANALISIS GEOREF</v>
      </c>
      <c r="G192" s="0" t="s">
        <v>1540</v>
      </c>
      <c r="H192" s="0" t="s">
        <v>1539</v>
      </c>
    </row>
    <row r="193" customFormat="false" ht="14.65" hidden="false" customHeight="false" outlineLevel="0" collapsed="false">
      <c r="A193" s="43" t="s">
        <v>1178</v>
      </c>
      <c r="B193" s="44" t="s">
        <v>1541</v>
      </c>
      <c r="C193" s="45" t="s">
        <v>1450</v>
      </c>
      <c r="F193" s="0" t="str">
        <f aca="false">_xlfn.CONCAT(G193,H193)</f>
        <v>AHCN0114LIDERAZGO GERENCIAL</v>
      </c>
      <c r="G193" s="0" t="s">
        <v>1542</v>
      </c>
      <c r="H193" s="0" t="s">
        <v>1450</v>
      </c>
    </row>
    <row r="194" customFormat="false" ht="14.65" hidden="false" customHeight="false" outlineLevel="0" collapsed="false">
      <c r="A194" s="43" t="s">
        <v>1364</v>
      </c>
      <c r="B194" s="44" t="s">
        <v>1499</v>
      </c>
      <c r="C194" s="45" t="s">
        <v>1543</v>
      </c>
      <c r="F194" s="0" t="str">
        <f aca="false">_xlfn.CONCAT(G194,H194)</f>
        <v>CNCX0058ESTRUCTURA DE DATOS ESTADIST</v>
      </c>
      <c r="G194" s="0" t="s">
        <v>1544</v>
      </c>
      <c r="H194" s="0" t="s">
        <v>1543</v>
      </c>
    </row>
    <row r="195" customFormat="false" ht="14.65" hidden="false" customHeight="false" outlineLevel="0" collapsed="false">
      <c r="A195" s="43" t="s">
        <v>1364</v>
      </c>
      <c r="B195" s="44" t="s">
        <v>1545</v>
      </c>
      <c r="C195" s="45" t="s">
        <v>1546</v>
      </c>
      <c r="F195" s="0" t="str">
        <f aca="false">_xlfn.CONCAT(G195,H195)</f>
        <v>CNCX0063TECN ESTADIST PRUEBA DE HIPOTE</v>
      </c>
      <c r="G195" s="0" t="s">
        <v>1547</v>
      </c>
      <c r="H195" s="0" t="s">
        <v>1546</v>
      </c>
    </row>
    <row r="196" customFormat="false" ht="14.65" hidden="false" customHeight="false" outlineLevel="0" collapsed="false">
      <c r="A196" s="43" t="s">
        <v>1178</v>
      </c>
      <c r="B196" s="44" t="s">
        <v>1548</v>
      </c>
      <c r="C196" s="45" t="s">
        <v>1549</v>
      </c>
      <c r="F196" s="0" t="str">
        <f aca="false">_xlfn.CONCAT(G196,H196)</f>
        <v>AHCN0109ECONOMIA EMPRESARIAL</v>
      </c>
      <c r="G196" s="0" t="s">
        <v>1550</v>
      </c>
      <c r="H196" s="0" t="s">
        <v>1549</v>
      </c>
    </row>
    <row r="197" customFormat="false" ht="14.65" hidden="false" customHeight="false" outlineLevel="0" collapsed="false">
      <c r="A197" s="43" t="s">
        <v>1364</v>
      </c>
      <c r="B197" s="44" t="s">
        <v>1551</v>
      </c>
      <c r="C197" s="45" t="s">
        <v>1552</v>
      </c>
      <c r="F197" s="0" t="str">
        <f aca="false">_xlfn.CONCAT(G197,H197)</f>
        <v>CNCX0057DEMOGRAFIA</v>
      </c>
      <c r="G197" s="0" t="s">
        <v>1553</v>
      </c>
      <c r="H197" s="0" t="s">
        <v>1552</v>
      </c>
    </row>
    <row r="198" customFormat="false" ht="14.65" hidden="false" customHeight="false" outlineLevel="0" collapsed="false">
      <c r="A198" s="43" t="s">
        <v>1178</v>
      </c>
      <c r="B198" s="44" t="s">
        <v>1554</v>
      </c>
      <c r="C198" s="45" t="s">
        <v>1555</v>
      </c>
      <c r="F198" s="0" t="str">
        <f aca="false">_xlfn.CONCAT(G198,H198)</f>
        <v>AHCN0119PLAN DE NEGOCIOS</v>
      </c>
      <c r="G198" s="0" t="s">
        <v>1556</v>
      </c>
      <c r="H198" s="0" t="s">
        <v>1555</v>
      </c>
    </row>
    <row r="199" customFormat="false" ht="14.65" hidden="false" customHeight="false" outlineLevel="0" collapsed="false">
      <c r="A199" s="43" t="s">
        <v>1364</v>
      </c>
      <c r="B199" s="44" t="s">
        <v>1462</v>
      </c>
      <c r="C199" s="45" t="s">
        <v>1557</v>
      </c>
      <c r="F199" s="0" t="str">
        <f aca="false">_xlfn.CONCAT(G199,H199)</f>
        <v>CNCX0062MODELOS DE REGRESION</v>
      </c>
      <c r="G199" s="0" t="s">
        <v>1558</v>
      </c>
      <c r="H199" s="0" t="s">
        <v>1557</v>
      </c>
    </row>
    <row r="200" customFormat="false" ht="14.65" hidden="false" customHeight="false" outlineLevel="0" collapsed="false">
      <c r="A200" s="43" t="s">
        <v>1178</v>
      </c>
      <c r="B200" s="44" t="s">
        <v>1559</v>
      </c>
      <c r="C200" s="45" t="s">
        <v>1560</v>
      </c>
      <c r="F200" s="0" t="str">
        <f aca="false">_xlfn.CONCAT(G200,H200)</f>
        <v>AHCN0124TECNICAS DE MUESTREO</v>
      </c>
      <c r="G200" s="0" t="s">
        <v>1561</v>
      </c>
      <c r="H200" s="0" t="s">
        <v>1560</v>
      </c>
    </row>
    <row r="201" customFormat="false" ht="14.65" hidden="false" customHeight="false" outlineLevel="0" collapsed="false">
      <c r="A201" s="43" t="s">
        <v>1178</v>
      </c>
      <c r="B201" s="44" t="s">
        <v>1562</v>
      </c>
      <c r="C201" s="45" t="s">
        <v>1563</v>
      </c>
      <c r="F201" s="0" t="str">
        <f aca="false">_xlfn.CONCAT(G201,H201)</f>
        <v>AHCN0120PROCESOS ESTRAT MENTORIA EMPR</v>
      </c>
      <c r="G201" s="0" t="s">
        <v>1564</v>
      </c>
      <c r="H201" s="0" t="s">
        <v>1563</v>
      </c>
    </row>
    <row r="202" customFormat="false" ht="14.65" hidden="false" customHeight="false" outlineLevel="0" collapsed="false">
      <c r="A202" s="43" t="s">
        <v>1178</v>
      </c>
      <c r="B202" s="44" t="s">
        <v>1515</v>
      </c>
      <c r="C202" s="45" t="s">
        <v>1565</v>
      </c>
      <c r="F202" s="0" t="str">
        <f aca="false">_xlfn.CONCAT(G202,H202)</f>
        <v>AHCN0117NEGOCIOS ELECTRONICOS</v>
      </c>
      <c r="G202" s="0" t="s">
        <v>1566</v>
      </c>
      <c r="H202" s="0" t="s">
        <v>1565</v>
      </c>
    </row>
    <row r="203" customFormat="false" ht="14.65" hidden="false" customHeight="false" outlineLevel="0" collapsed="false">
      <c r="A203" s="43" t="s">
        <v>1364</v>
      </c>
      <c r="B203" s="44" t="s">
        <v>1567</v>
      </c>
      <c r="C203" s="45" t="s">
        <v>1568</v>
      </c>
      <c r="F203" s="0" t="str">
        <f aca="false">_xlfn.CONCAT(G203,H203)</f>
        <v>CNCX0061MINERIA DE DATOS ESTADISTICOS</v>
      </c>
      <c r="G203" s="0" t="s">
        <v>1569</v>
      </c>
      <c r="H203" s="0" t="s">
        <v>1568</v>
      </c>
    </row>
    <row r="204" customFormat="false" ht="14.65" hidden="false" customHeight="false" outlineLevel="0" collapsed="false">
      <c r="A204" s="43" t="s">
        <v>1364</v>
      </c>
      <c r="B204" s="44" t="s">
        <v>1570</v>
      </c>
      <c r="C204" s="45" t="s">
        <v>1571</v>
      </c>
      <c r="F204" s="0" t="str">
        <f aca="false">_xlfn.CONCAT(G204,H204)</f>
        <v>CNCX0064TECN ESTADIST II NO PARAMETRIC</v>
      </c>
      <c r="G204" s="0" t="s">
        <v>1572</v>
      </c>
      <c r="H204" s="0" t="s">
        <v>1571</v>
      </c>
    </row>
    <row r="205" customFormat="false" ht="14.65" hidden="false" customHeight="false" outlineLevel="0" collapsed="false">
      <c r="A205" s="43" t="s">
        <v>1178</v>
      </c>
      <c r="B205" s="44" t="s">
        <v>1573</v>
      </c>
      <c r="C205" s="45" t="s">
        <v>1574</v>
      </c>
      <c r="F205" s="0" t="str">
        <f aca="false">_xlfn.CONCAT(G205,H205)</f>
        <v>AHCN0122TECNICA DE DISENO EXPERIMENTAL</v>
      </c>
      <c r="G205" s="0" t="s">
        <v>1575</v>
      </c>
      <c r="H205" s="0" t="s">
        <v>1574</v>
      </c>
    </row>
    <row r="206" customFormat="false" ht="14.65" hidden="false" customHeight="false" outlineLevel="0" collapsed="false">
      <c r="A206" s="43" t="s">
        <v>1364</v>
      </c>
      <c r="B206" s="44" t="s">
        <v>1465</v>
      </c>
      <c r="C206" s="45" t="s">
        <v>1576</v>
      </c>
      <c r="F206" s="0" t="str">
        <f aca="false">_xlfn.CONCAT(G206,H206)</f>
        <v>CNCX0059INVESTIGACION CUALITATIVA</v>
      </c>
      <c r="G206" s="0" t="s">
        <v>1577</v>
      </c>
      <c r="H206" s="0" t="s">
        <v>1576</v>
      </c>
    </row>
    <row r="207" customFormat="false" ht="14.65" hidden="false" customHeight="false" outlineLevel="0" collapsed="false">
      <c r="A207" s="43" t="s">
        <v>1178</v>
      </c>
      <c r="B207" s="44" t="s">
        <v>1578</v>
      </c>
      <c r="C207" s="45" t="s">
        <v>1579</v>
      </c>
      <c r="F207" s="0" t="str">
        <f aca="false">_xlfn.CONCAT(G207,H207)</f>
        <v>AHCN0115METODOS DE PRONOSTICO EMPRES</v>
      </c>
      <c r="G207" s="0" t="s">
        <v>1580</v>
      </c>
      <c r="H207" s="0" t="s">
        <v>1579</v>
      </c>
    </row>
    <row r="208" customFormat="false" ht="14.65" hidden="false" customHeight="false" outlineLevel="0" collapsed="false">
      <c r="A208" s="43" t="s">
        <v>1364</v>
      </c>
      <c r="B208" s="44" t="s">
        <v>1452</v>
      </c>
      <c r="C208" s="45" t="s">
        <v>1581</v>
      </c>
      <c r="F208" s="0" t="str">
        <f aca="false">_xlfn.CONCAT(G208,H208)</f>
        <v>CNCX0056ANALISIS MULTIVARIADO</v>
      </c>
      <c r="G208" s="0" t="s">
        <v>1582</v>
      </c>
      <c r="H208" s="0" t="s">
        <v>1581</v>
      </c>
    </row>
    <row r="209" customFormat="false" ht="14.65" hidden="false" customHeight="false" outlineLevel="0" collapsed="false">
      <c r="A209" s="43" t="s">
        <v>1178</v>
      </c>
      <c r="B209" s="44" t="s">
        <v>1583</v>
      </c>
      <c r="C209" s="45" t="s">
        <v>1584</v>
      </c>
      <c r="F209" s="0" t="str">
        <f aca="false">_xlfn.CONCAT(G209,H209)</f>
        <v>AHCN0113GESTION Y CONSULTORIA EMPRES</v>
      </c>
      <c r="G209" s="0" t="s">
        <v>1585</v>
      </c>
      <c r="H209" s="0" t="s">
        <v>1584</v>
      </c>
    </row>
    <row r="210" customFormat="false" ht="14.65" hidden="false" customHeight="false" outlineLevel="0" collapsed="false">
      <c r="A210" s="43" t="s">
        <v>1178</v>
      </c>
      <c r="B210" s="44" t="s">
        <v>1586</v>
      </c>
      <c r="C210" s="45" t="s">
        <v>1587</v>
      </c>
      <c r="F210" s="0" t="str">
        <f aca="false">_xlfn.CONCAT(G210,H210)</f>
        <v>AHCN0121PROYECTO INTEGRADOR</v>
      </c>
      <c r="G210" s="0" t="s">
        <v>1588</v>
      </c>
      <c r="H210" s="0" t="s">
        <v>1587</v>
      </c>
    </row>
    <row r="211" customFormat="false" ht="14.65" hidden="false" customHeight="false" outlineLevel="0" collapsed="false">
      <c r="A211" s="43" t="s">
        <v>1178</v>
      </c>
      <c r="B211" s="44" t="s">
        <v>1589</v>
      </c>
      <c r="C211" s="45" t="s">
        <v>1590</v>
      </c>
      <c r="F211" s="0" t="str">
        <f aca="false">_xlfn.CONCAT(G211,H211)</f>
        <v>AHCN0051CONTABILIDAD III</v>
      </c>
      <c r="G211" s="0" t="s">
        <v>1591</v>
      </c>
      <c r="H211" s="0" t="s">
        <v>1590</v>
      </c>
    </row>
    <row r="212" customFormat="false" ht="14.65" hidden="false" customHeight="false" outlineLevel="0" collapsed="false">
      <c r="A212" s="43" t="s">
        <v>1178</v>
      </c>
      <c r="B212" s="44" t="s">
        <v>1531</v>
      </c>
      <c r="C212" s="45" t="s">
        <v>1592</v>
      </c>
      <c r="F212" s="0" t="str">
        <f aca="false">_xlfn.CONCAT(G212,H212)</f>
        <v>AHCN0047CALCULO ADUANAL</v>
      </c>
      <c r="G212" s="0" t="s">
        <v>1593</v>
      </c>
      <c r="H212" s="0" t="s">
        <v>1592</v>
      </c>
    </row>
    <row r="213" customFormat="false" ht="14.65" hidden="false" customHeight="false" outlineLevel="0" collapsed="false">
      <c r="A213" s="43" t="s">
        <v>1178</v>
      </c>
      <c r="B213" s="44" t="s">
        <v>1594</v>
      </c>
      <c r="C213" s="45" t="s">
        <v>1595</v>
      </c>
      <c r="F213" s="0" t="str">
        <f aca="false">_xlfn.CONCAT(G213,H213)</f>
        <v>AHCN0052CONTABILIDAD IV</v>
      </c>
      <c r="G213" s="0" t="s">
        <v>1596</v>
      </c>
      <c r="H213" s="0" t="s">
        <v>1595</v>
      </c>
    </row>
    <row r="214" customFormat="false" ht="14.65" hidden="false" customHeight="false" outlineLevel="0" collapsed="false">
      <c r="A214" s="43" t="s">
        <v>1178</v>
      </c>
      <c r="B214" s="44" t="s">
        <v>1597</v>
      </c>
      <c r="C214" s="45" t="s">
        <v>1598</v>
      </c>
      <c r="F214" s="0" t="str">
        <f aca="false">_xlfn.CONCAT(G214,H214)</f>
        <v>AHCN0087LEGISLACION MERCANTIL</v>
      </c>
      <c r="G214" s="0" t="s">
        <v>1599</v>
      </c>
      <c r="H214" s="0" t="s">
        <v>1598</v>
      </c>
    </row>
    <row r="215" customFormat="false" ht="14.65" hidden="false" customHeight="false" outlineLevel="0" collapsed="false">
      <c r="A215" s="43" t="s">
        <v>1178</v>
      </c>
      <c r="B215" s="44" t="s">
        <v>1600</v>
      </c>
      <c r="C215" s="45" t="s">
        <v>1601</v>
      </c>
      <c r="F215" s="0" t="str">
        <f aca="false">_xlfn.CONCAT(G215,H215)</f>
        <v>AHCN0048CONTABILIDAD DE COSTOS II</v>
      </c>
      <c r="G215" s="0" t="s">
        <v>1602</v>
      </c>
      <c r="H215" s="0" t="s">
        <v>1601</v>
      </c>
    </row>
    <row r="216" customFormat="false" ht="14.65" hidden="false" customHeight="false" outlineLevel="0" collapsed="false">
      <c r="A216" s="43" t="s">
        <v>1178</v>
      </c>
      <c r="B216" s="44" t="s">
        <v>1603</v>
      </c>
      <c r="C216" s="45" t="s">
        <v>1604</v>
      </c>
      <c r="F216" s="0" t="str">
        <f aca="false">_xlfn.CONCAT(G216,H216)</f>
        <v>AHCN0049CONTABILIDAD DE COSTOS III</v>
      </c>
      <c r="G216" s="0" t="s">
        <v>1605</v>
      </c>
      <c r="H216" s="0" t="s">
        <v>1604</v>
      </c>
    </row>
    <row r="217" customFormat="false" ht="14.65" hidden="false" customHeight="false" outlineLevel="0" collapsed="false">
      <c r="A217" s="43" t="s">
        <v>1178</v>
      </c>
      <c r="B217" s="44" t="s">
        <v>1606</v>
      </c>
      <c r="C217" s="45" t="s">
        <v>1607</v>
      </c>
      <c r="F217" s="0" t="str">
        <f aca="false">_xlfn.CONCAT(G217,H217)</f>
        <v>AHCN0054DISENOS CONTABLES</v>
      </c>
      <c r="G217" s="0" t="s">
        <v>1608</v>
      </c>
      <c r="H217" s="0" t="s">
        <v>1607</v>
      </c>
    </row>
    <row r="218" customFormat="false" ht="14.65" hidden="false" customHeight="false" outlineLevel="0" collapsed="false">
      <c r="A218" s="43" t="s">
        <v>1609</v>
      </c>
      <c r="B218" s="44" t="s">
        <v>1415</v>
      </c>
      <c r="C218" s="45" t="s">
        <v>1610</v>
      </c>
      <c r="F218" s="0" t="str">
        <f aca="false">_xlfn.CONCAT(G218,H218)</f>
        <v>CJJU0033DERECHO TRIBUTARIO</v>
      </c>
      <c r="G218" s="0" t="s">
        <v>1611</v>
      </c>
      <c r="H218" s="0" t="s">
        <v>1610</v>
      </c>
    </row>
    <row r="219" customFormat="false" ht="14.65" hidden="false" customHeight="false" outlineLevel="0" collapsed="false">
      <c r="A219" s="43" t="s">
        <v>1178</v>
      </c>
      <c r="B219" s="44" t="s">
        <v>1612</v>
      </c>
      <c r="C219" s="45" t="s">
        <v>1613</v>
      </c>
      <c r="F219" s="0" t="str">
        <f aca="false">_xlfn.CONCAT(G219,H219)</f>
        <v>AHCN0042ADMINISTRACION DE INVENTARIOS</v>
      </c>
      <c r="G219" s="0" t="s">
        <v>1614</v>
      </c>
      <c r="H219" s="0" t="s">
        <v>1613</v>
      </c>
    </row>
    <row r="220" customFormat="false" ht="14.65" hidden="false" customHeight="false" outlineLevel="0" collapsed="false">
      <c r="A220" s="43" t="s">
        <v>1178</v>
      </c>
      <c r="B220" s="44" t="s">
        <v>1615</v>
      </c>
      <c r="C220" s="45" t="s">
        <v>1616</v>
      </c>
      <c r="F220" s="0" t="str">
        <f aca="false">_xlfn.CONCAT(G220,H220)</f>
        <v>AHCN0043AUDITORIA DE SISTEMAS</v>
      </c>
      <c r="G220" s="0" t="s">
        <v>1617</v>
      </c>
      <c r="H220" s="0" t="s">
        <v>1616</v>
      </c>
    </row>
    <row r="221" customFormat="false" ht="14.65" hidden="false" customHeight="false" outlineLevel="0" collapsed="false">
      <c r="A221" s="43" t="s">
        <v>1178</v>
      </c>
      <c r="B221" s="44" t="s">
        <v>1259</v>
      </c>
      <c r="C221" s="45" t="s">
        <v>1618</v>
      </c>
      <c r="F221" s="0" t="str">
        <f aca="false">_xlfn.CONCAT(G221,H221)</f>
        <v>AHCN0060FORMACION DESPACHOS CONTA PUBL</v>
      </c>
      <c r="G221" s="0" t="s">
        <v>1619</v>
      </c>
      <c r="H221" s="0" t="s">
        <v>1618</v>
      </c>
    </row>
    <row r="222" customFormat="false" ht="14.65" hidden="false" customHeight="false" outlineLevel="0" collapsed="false">
      <c r="A222" s="43" t="s">
        <v>1178</v>
      </c>
      <c r="B222" s="44" t="s">
        <v>1545</v>
      </c>
      <c r="C222" s="45" t="s">
        <v>1620</v>
      </c>
      <c r="F222" s="0" t="str">
        <f aca="false">_xlfn.CONCAT(G222,H222)</f>
        <v>AHCN0063GESTION ADUANAL</v>
      </c>
      <c r="G222" s="0" t="s">
        <v>1621</v>
      </c>
      <c r="H222" s="0" t="s">
        <v>1620</v>
      </c>
    </row>
    <row r="223" customFormat="false" ht="14.65" hidden="false" customHeight="false" outlineLevel="0" collapsed="false">
      <c r="A223" s="43" t="s">
        <v>1178</v>
      </c>
      <c r="B223" s="44" t="s">
        <v>1622</v>
      </c>
      <c r="C223" s="45" t="s">
        <v>1623</v>
      </c>
      <c r="F223" s="0" t="str">
        <f aca="false">_xlfn.CONCAT(G223,H223)</f>
        <v>AHCN0035LEGISLACION TRIBUTARIA Y MERCA</v>
      </c>
      <c r="G223" s="0" t="s">
        <v>1624</v>
      </c>
      <c r="H223" s="0" t="s">
        <v>1623</v>
      </c>
    </row>
    <row r="224" customFormat="false" ht="14.65" hidden="false" customHeight="false" outlineLevel="0" collapsed="false">
      <c r="A224" s="43" t="s">
        <v>1178</v>
      </c>
      <c r="B224" s="44" t="s">
        <v>1108</v>
      </c>
      <c r="C224" s="45" t="s">
        <v>1625</v>
      </c>
      <c r="F224" s="0" t="str">
        <f aca="false">_xlfn.CONCAT(G224,H224)</f>
        <v>AHCN0013FINANZAS I</v>
      </c>
      <c r="G224" s="0" t="s">
        <v>1626</v>
      </c>
      <c r="H224" s="0" t="s">
        <v>1625</v>
      </c>
    </row>
    <row r="225" customFormat="false" ht="14.65" hidden="false" customHeight="false" outlineLevel="0" collapsed="false">
      <c r="A225" s="43" t="s">
        <v>1178</v>
      </c>
      <c r="B225" s="44" t="s">
        <v>1627</v>
      </c>
      <c r="C225" s="45" t="s">
        <v>1628</v>
      </c>
      <c r="F225" s="0" t="str">
        <f aca="false">_xlfn.CONCAT(G225,H225)</f>
        <v>AHCN0094MACROECONOMIA</v>
      </c>
      <c r="G225" s="0" t="s">
        <v>1629</v>
      </c>
      <c r="H225" s="0" t="s">
        <v>1628</v>
      </c>
    </row>
    <row r="226" customFormat="false" ht="14.65" hidden="false" customHeight="false" outlineLevel="0" collapsed="false">
      <c r="A226" s="43" t="s">
        <v>1178</v>
      </c>
      <c r="B226" s="44" t="s">
        <v>1630</v>
      </c>
      <c r="C226" s="45" t="s">
        <v>1631</v>
      </c>
      <c r="F226" s="0" t="str">
        <f aca="false">_xlfn.CONCAT(G226,H226)</f>
        <v>AHCN0045AUDITORIA I</v>
      </c>
      <c r="G226" s="0" t="s">
        <v>1632</v>
      </c>
      <c r="H226" s="0" t="s">
        <v>1631</v>
      </c>
    </row>
    <row r="227" customFormat="false" ht="14.65" hidden="false" customHeight="false" outlineLevel="0" collapsed="false">
      <c r="A227" s="43" t="s">
        <v>1178</v>
      </c>
      <c r="B227" s="44" t="s">
        <v>1551</v>
      </c>
      <c r="C227" s="45" t="s">
        <v>484</v>
      </c>
      <c r="F227" s="0" t="str">
        <f aca="false">_xlfn.CONCAT(G227,H227)</f>
        <v>AHCN0057ELECTIVA</v>
      </c>
      <c r="G227" s="0" t="s">
        <v>1633</v>
      </c>
      <c r="H227" s="0" t="s">
        <v>484</v>
      </c>
    </row>
    <row r="228" customFormat="false" ht="14.65" hidden="false" customHeight="false" outlineLevel="0" collapsed="false">
      <c r="A228" s="43" t="s">
        <v>1178</v>
      </c>
      <c r="B228" s="44" t="s">
        <v>1634</v>
      </c>
      <c r="C228" s="45" t="s">
        <v>1635</v>
      </c>
      <c r="F228" s="0" t="str">
        <f aca="false">_xlfn.CONCAT(G228,H228)</f>
        <v>AHCN0046AUDITORIA II</v>
      </c>
      <c r="G228" s="0" t="s">
        <v>1636</v>
      </c>
      <c r="H228" s="0" t="s">
        <v>1635</v>
      </c>
    </row>
    <row r="229" customFormat="false" ht="14.65" hidden="false" customHeight="false" outlineLevel="0" collapsed="false">
      <c r="A229" s="43" t="s">
        <v>1178</v>
      </c>
      <c r="B229" s="44" t="s">
        <v>1570</v>
      </c>
      <c r="C229" s="45" t="s">
        <v>1637</v>
      </c>
      <c r="F229" s="0" t="str">
        <f aca="false">_xlfn.CONCAT(G229,H229)</f>
        <v>AHCN0064GESTION DE RIESG Y CONTROL INT</v>
      </c>
      <c r="G229" s="0" t="s">
        <v>1638</v>
      </c>
      <c r="H229" s="0" t="s">
        <v>1637</v>
      </c>
    </row>
    <row r="230" customFormat="false" ht="14.65" hidden="false" customHeight="false" outlineLevel="0" collapsed="false">
      <c r="A230" s="43" t="s">
        <v>1178</v>
      </c>
      <c r="B230" s="44" t="s">
        <v>1639</v>
      </c>
      <c r="C230" s="45" t="s">
        <v>1640</v>
      </c>
      <c r="F230" s="0" t="str">
        <f aca="false">_xlfn.CONCAT(G230,H230)</f>
        <v>AHCN0044AUDITORIA FORENSE</v>
      </c>
      <c r="G230" s="0" t="s">
        <v>1641</v>
      </c>
      <c r="H230" s="0" t="s">
        <v>1640</v>
      </c>
    </row>
    <row r="231" customFormat="false" ht="14.65" hidden="false" customHeight="false" outlineLevel="0" collapsed="false">
      <c r="A231" s="43" t="s">
        <v>1178</v>
      </c>
      <c r="B231" s="44" t="s">
        <v>1642</v>
      </c>
      <c r="C231" s="45" t="s">
        <v>1643</v>
      </c>
      <c r="F231" s="0" t="str">
        <f aca="false">_xlfn.CONCAT(G231,H231)</f>
        <v>AHCN0095GESTION TRIBUTARIA</v>
      </c>
      <c r="G231" s="0" t="s">
        <v>1644</v>
      </c>
      <c r="H231" s="0" t="s">
        <v>1643</v>
      </c>
    </row>
    <row r="232" customFormat="false" ht="14.65" hidden="false" customHeight="false" outlineLevel="0" collapsed="false">
      <c r="A232" s="43" t="s">
        <v>1178</v>
      </c>
      <c r="B232" s="44" t="s">
        <v>1645</v>
      </c>
      <c r="C232" s="45" t="s">
        <v>1646</v>
      </c>
      <c r="F232" s="0" t="str">
        <f aca="false">_xlfn.CONCAT(G232,H232)</f>
        <v>AHCN0069RAZONAM MORAL Y DECIS ETICAS</v>
      </c>
      <c r="G232" s="0" t="s">
        <v>1647</v>
      </c>
      <c r="H232" s="0" t="s">
        <v>1646</v>
      </c>
    </row>
    <row r="233" customFormat="false" ht="14.65" hidden="false" customHeight="false" outlineLevel="0" collapsed="false">
      <c r="A233" s="43" t="s">
        <v>1178</v>
      </c>
      <c r="B233" s="44" t="s">
        <v>1567</v>
      </c>
      <c r="C233" s="45" t="s">
        <v>1648</v>
      </c>
      <c r="F233" s="0" t="str">
        <f aca="false">_xlfn.CONCAT(G233,H233)</f>
        <v>AHCN0061FORMULACION Y EVALUAC DE NEGOC</v>
      </c>
      <c r="G233" s="0" t="s">
        <v>1649</v>
      </c>
      <c r="H233" s="0" t="s">
        <v>1648</v>
      </c>
    </row>
    <row r="234" customFormat="false" ht="14.65" hidden="false" customHeight="false" outlineLevel="0" collapsed="false">
      <c r="A234" s="43" t="s">
        <v>1178</v>
      </c>
      <c r="B234" s="44" t="s">
        <v>1650</v>
      </c>
      <c r="C234" s="45" t="s">
        <v>1651</v>
      </c>
      <c r="F234" s="0" t="str">
        <f aca="false">_xlfn.CONCAT(G234,H234)</f>
        <v>AHCN0050CONTABILIDAD GERENCIAL</v>
      </c>
      <c r="G234" s="0" t="s">
        <v>1652</v>
      </c>
      <c r="H234" s="0" t="s">
        <v>1651</v>
      </c>
    </row>
    <row r="235" customFormat="false" ht="14.65" hidden="false" customHeight="false" outlineLevel="0" collapsed="false">
      <c r="A235" s="43" t="s">
        <v>1178</v>
      </c>
      <c r="B235" s="44" t="s">
        <v>1653</v>
      </c>
      <c r="C235" s="45" t="s">
        <v>1460</v>
      </c>
      <c r="F235" s="0" t="str">
        <f aca="false">_xlfn.CONCAT(G235,H235)</f>
        <v>AHCN0065INTROD A INTELIG DE NEGOCIOS</v>
      </c>
      <c r="G235" s="0" t="s">
        <v>1654</v>
      </c>
      <c r="H235" s="0" t="s">
        <v>1460</v>
      </c>
    </row>
    <row r="236" customFormat="false" ht="14.65" hidden="false" customHeight="false" outlineLevel="0" collapsed="false">
      <c r="A236" s="43" t="s">
        <v>1178</v>
      </c>
      <c r="B236" s="44" t="s">
        <v>1220</v>
      </c>
      <c r="C236" s="45" t="s">
        <v>1519</v>
      </c>
      <c r="F236" s="0" t="str">
        <f aca="false">_xlfn.CONCAT(G236,H236)</f>
        <v>AHCN2013GERENCIA DE MERCADEO</v>
      </c>
      <c r="G236" s="0" t="s">
        <v>1655</v>
      </c>
      <c r="H236" s="0" t="s">
        <v>1519</v>
      </c>
    </row>
    <row r="237" customFormat="false" ht="14.65" hidden="false" customHeight="false" outlineLevel="0" collapsed="false">
      <c r="A237" s="43" t="s">
        <v>1178</v>
      </c>
      <c r="B237" s="44" t="s">
        <v>1223</v>
      </c>
      <c r="C237" s="45" t="s">
        <v>1656</v>
      </c>
      <c r="F237" s="0" t="str">
        <f aca="false">_xlfn.CONCAT(G237,H237)</f>
        <v>AHCN2014FINANZAS INTERNACIONALES</v>
      </c>
      <c r="G237" s="0" t="s">
        <v>1657</v>
      </c>
      <c r="H237" s="0" t="s">
        <v>1656</v>
      </c>
    </row>
    <row r="238" customFormat="false" ht="14.65" hidden="false" customHeight="false" outlineLevel="0" collapsed="false">
      <c r="A238" s="43" t="s">
        <v>1178</v>
      </c>
      <c r="B238" s="44" t="s">
        <v>1226</v>
      </c>
      <c r="C238" s="45" t="s">
        <v>1658</v>
      </c>
      <c r="F238" s="0" t="str">
        <f aca="false">_xlfn.CONCAT(G238,H238)</f>
        <v>AHCN2015FORMUL Y EVAL PROYECT DE INVER</v>
      </c>
      <c r="G238" s="0" t="s">
        <v>1659</v>
      </c>
      <c r="H238" s="0" t="s">
        <v>1658</v>
      </c>
    </row>
    <row r="239" customFormat="false" ht="14.65" hidden="false" customHeight="false" outlineLevel="0" collapsed="false">
      <c r="A239" s="43" t="s">
        <v>1178</v>
      </c>
      <c r="B239" s="44" t="s">
        <v>1235</v>
      </c>
      <c r="C239" s="45" t="s">
        <v>1660</v>
      </c>
      <c r="F239" s="0" t="str">
        <f aca="false">_xlfn.CONCAT(G239,H239)</f>
        <v>AHCN2017SEMINARIO DE INVESTIGACIÓN I</v>
      </c>
      <c r="G239" s="0" t="s">
        <v>1661</v>
      </c>
      <c r="H239" s="0" t="s">
        <v>1660</v>
      </c>
    </row>
    <row r="240" customFormat="false" ht="14.65" hidden="false" customHeight="false" outlineLevel="0" collapsed="false">
      <c r="A240" s="43" t="s">
        <v>1178</v>
      </c>
      <c r="B240" s="44" t="s">
        <v>1199</v>
      </c>
      <c r="C240" s="45" t="s">
        <v>1662</v>
      </c>
      <c r="F240" s="0" t="str">
        <f aca="false">_xlfn.CONCAT(G240,H240)</f>
        <v>AHCN2006ANÁLISIS ECONÓMICO PARA ADMIN</v>
      </c>
      <c r="G240" s="0" t="s">
        <v>1663</v>
      </c>
      <c r="H240" s="0" t="s">
        <v>1662</v>
      </c>
    </row>
    <row r="241" customFormat="false" ht="14.65" hidden="false" customHeight="false" outlineLevel="0" collapsed="false">
      <c r="A241" s="43" t="s">
        <v>1178</v>
      </c>
      <c r="B241" s="44" t="s">
        <v>1238</v>
      </c>
      <c r="C241" s="45" t="s">
        <v>1664</v>
      </c>
      <c r="F241" s="0" t="str">
        <f aca="false">_xlfn.CONCAT(G241,H241)</f>
        <v>AHCN2018GERENCIA DE CALIDAD</v>
      </c>
      <c r="G241" s="0" t="s">
        <v>1665</v>
      </c>
      <c r="H241" s="0" t="s">
        <v>1664</v>
      </c>
    </row>
    <row r="242" customFormat="false" ht="14.65" hidden="false" customHeight="false" outlineLevel="0" collapsed="false">
      <c r="A242" s="43" t="s">
        <v>1178</v>
      </c>
      <c r="B242" s="44" t="s">
        <v>1666</v>
      </c>
      <c r="C242" s="45" t="s">
        <v>1667</v>
      </c>
      <c r="F242" s="0" t="str">
        <f aca="false">_xlfn.CONCAT(G242,H242)</f>
        <v>AHCN2019SEMINARIO DE INVESTIGACIÓN II</v>
      </c>
      <c r="G242" s="0" t="s">
        <v>1668</v>
      </c>
      <c r="H242" s="0" t="s">
        <v>1667</v>
      </c>
    </row>
    <row r="243" customFormat="false" ht="14.65" hidden="false" customHeight="false" outlineLevel="0" collapsed="false">
      <c r="A243" s="43" t="s">
        <v>1178</v>
      </c>
      <c r="B243" s="44" t="s">
        <v>1669</v>
      </c>
      <c r="C243" s="45" t="s">
        <v>1670</v>
      </c>
      <c r="F243" s="0" t="str">
        <f aca="false">_xlfn.CONCAT(G243,H243)</f>
        <v>AHCN2020PLANIFIC DEL RECURSO HUMANO</v>
      </c>
      <c r="G243" s="0" t="s">
        <v>1671</v>
      </c>
      <c r="H243" s="0" t="s">
        <v>1670</v>
      </c>
    </row>
    <row r="244" customFormat="false" ht="14.65" hidden="false" customHeight="false" outlineLevel="0" collapsed="false">
      <c r="A244" s="43" t="s">
        <v>1178</v>
      </c>
      <c r="B244" s="44" t="s">
        <v>1672</v>
      </c>
      <c r="C244" s="45" t="s">
        <v>1673</v>
      </c>
      <c r="F244" s="0" t="str">
        <f aca="false">_xlfn.CONCAT(G244,H244)</f>
        <v>AHCN2021AUDITORÍA II</v>
      </c>
      <c r="G244" s="0" t="s">
        <v>1674</v>
      </c>
      <c r="H244" s="0" t="s">
        <v>1673</v>
      </c>
    </row>
    <row r="245" customFormat="false" ht="14.65" hidden="false" customHeight="false" outlineLevel="0" collapsed="false">
      <c r="A245" s="43" t="s">
        <v>1178</v>
      </c>
      <c r="B245" s="44" t="s">
        <v>1675</v>
      </c>
      <c r="C245" s="45" t="s">
        <v>1233</v>
      </c>
      <c r="F245" s="0" t="str">
        <f aca="false">_xlfn.CONCAT(G245,H245)</f>
        <v>AHCN2042PROYECTO DE GRADUACION</v>
      </c>
      <c r="G245" s="0" t="s">
        <v>1676</v>
      </c>
      <c r="H245" s="0" t="s">
        <v>1233</v>
      </c>
    </row>
    <row r="246" customFormat="false" ht="14.65" hidden="false" customHeight="false" outlineLevel="0" collapsed="false">
      <c r="A246" s="43" t="s">
        <v>1178</v>
      </c>
      <c r="B246" s="44" t="s">
        <v>1677</v>
      </c>
      <c r="C246" s="45" t="s">
        <v>1236</v>
      </c>
      <c r="F246" s="0" t="str">
        <f aca="false">_xlfn.CONCAT(G246,H246)</f>
        <v>AHCN2043TESIS DE GRADO</v>
      </c>
      <c r="G246" s="0" t="s">
        <v>1678</v>
      </c>
      <c r="H246" s="0" t="s">
        <v>1236</v>
      </c>
    </row>
    <row r="247" customFormat="false" ht="14.65" hidden="false" customHeight="false" outlineLevel="0" collapsed="false">
      <c r="A247" s="43" t="s">
        <v>1178</v>
      </c>
      <c r="B247" s="44" t="s">
        <v>1181</v>
      </c>
      <c r="C247" s="45" t="s">
        <v>1679</v>
      </c>
      <c r="F247" s="0" t="str">
        <f aca="false">_xlfn.CONCAT(G247,H247)</f>
        <v>AHCN2000MERCADOS FINANCIEROS INTERNAC</v>
      </c>
      <c r="G247" s="0" t="s">
        <v>1680</v>
      </c>
      <c r="H247" s="0" t="s">
        <v>1679</v>
      </c>
    </row>
    <row r="248" customFormat="false" ht="14.65" hidden="false" customHeight="false" outlineLevel="0" collapsed="false">
      <c r="A248" s="43" t="s">
        <v>1178</v>
      </c>
      <c r="B248" s="44" t="s">
        <v>1184</v>
      </c>
      <c r="C248" s="45" t="s">
        <v>1681</v>
      </c>
      <c r="F248" s="0" t="str">
        <f aca="false">_xlfn.CONCAT(G248,H248)</f>
        <v>AHCN2001SISTEMAS DE INFORMAC GERENCIAL</v>
      </c>
      <c r="G248" s="0" t="s">
        <v>1682</v>
      </c>
      <c r="H248" s="0" t="s">
        <v>1681</v>
      </c>
    </row>
    <row r="249" customFormat="false" ht="14.65" hidden="false" customHeight="false" outlineLevel="0" collapsed="false">
      <c r="A249" s="43" t="s">
        <v>1178</v>
      </c>
      <c r="B249" s="44" t="s">
        <v>1187</v>
      </c>
      <c r="C249" s="45" t="s">
        <v>1683</v>
      </c>
      <c r="F249" s="0" t="str">
        <f aca="false">_xlfn.CONCAT(G249,H249)</f>
        <v>AHCN2002LIDERAZGO Y HABILIDADES DIRECT</v>
      </c>
      <c r="G249" s="0" t="s">
        <v>1684</v>
      </c>
      <c r="H249" s="0" t="s">
        <v>1683</v>
      </c>
    </row>
    <row r="250" customFormat="false" ht="14.65" hidden="false" customHeight="false" outlineLevel="0" collapsed="false">
      <c r="A250" s="43" t="s">
        <v>1178</v>
      </c>
      <c r="B250" s="44" t="s">
        <v>1190</v>
      </c>
      <c r="C250" s="45" t="s">
        <v>1685</v>
      </c>
      <c r="F250" s="0" t="str">
        <f aca="false">_xlfn.CONCAT(G250,H250)</f>
        <v>AHCN2003FORMULAC Y EVAL DE PROYECTOS</v>
      </c>
      <c r="G250" s="0" t="s">
        <v>1686</v>
      </c>
      <c r="H250" s="0" t="s">
        <v>1685</v>
      </c>
    </row>
    <row r="251" customFormat="false" ht="14.65" hidden="false" customHeight="false" outlineLevel="0" collapsed="false">
      <c r="A251" s="43" t="s">
        <v>1178</v>
      </c>
      <c r="B251" s="44" t="s">
        <v>1193</v>
      </c>
      <c r="C251" s="45" t="s">
        <v>484</v>
      </c>
      <c r="F251" s="0" t="str">
        <f aca="false">_xlfn.CONCAT(G251,H251)</f>
        <v>AHCN2004ELECTIVA</v>
      </c>
      <c r="G251" s="0" t="s">
        <v>1687</v>
      </c>
      <c r="H251" s="0" t="s">
        <v>484</v>
      </c>
    </row>
    <row r="252" customFormat="false" ht="14.65" hidden="false" customHeight="false" outlineLevel="0" collapsed="false">
      <c r="A252" s="43" t="s">
        <v>1178</v>
      </c>
      <c r="B252" s="44" t="s">
        <v>1211</v>
      </c>
      <c r="C252" s="45" t="s">
        <v>1688</v>
      </c>
      <c r="F252" s="0" t="str">
        <f aca="false">_xlfn.CONCAT(G252,H252)</f>
        <v>AHCN2010CREATIVIDAD E INNOVACION</v>
      </c>
      <c r="G252" s="0" t="s">
        <v>1689</v>
      </c>
      <c r="H252" s="0" t="s">
        <v>1688</v>
      </c>
    </row>
    <row r="253" customFormat="false" ht="14.65" hidden="false" customHeight="false" outlineLevel="0" collapsed="false">
      <c r="A253" s="43" t="s">
        <v>1178</v>
      </c>
      <c r="B253" s="44" t="s">
        <v>1214</v>
      </c>
      <c r="C253" s="45" t="s">
        <v>1690</v>
      </c>
      <c r="F253" s="0" t="str">
        <f aca="false">_xlfn.CONCAT(G253,H253)</f>
        <v>AHCN2011MENTORIA Y MANEJO DE COMPETENC</v>
      </c>
      <c r="G253" s="0" t="s">
        <v>1691</v>
      </c>
      <c r="H253" s="0" t="s">
        <v>1690</v>
      </c>
    </row>
    <row r="254" customFormat="false" ht="14.65" hidden="false" customHeight="false" outlineLevel="0" collapsed="false">
      <c r="A254" s="43" t="s">
        <v>1178</v>
      </c>
      <c r="B254" s="44" t="s">
        <v>1217</v>
      </c>
      <c r="C254" s="45" t="s">
        <v>1692</v>
      </c>
      <c r="F254" s="0" t="str">
        <f aca="false">_xlfn.CONCAT(G254,H254)</f>
        <v>AHCN2012ESTRATEGIAS Y TÁCTICAS NEGOC</v>
      </c>
      <c r="G254" s="0" t="s">
        <v>1693</v>
      </c>
      <c r="H254" s="0" t="s">
        <v>1692</v>
      </c>
    </row>
    <row r="255" customFormat="false" ht="14.65" hidden="false" customHeight="false" outlineLevel="0" collapsed="false">
      <c r="A255" s="43" t="s">
        <v>1178</v>
      </c>
      <c r="B255" s="44" t="s">
        <v>1196</v>
      </c>
      <c r="C255" s="45" t="s">
        <v>1694</v>
      </c>
      <c r="F255" s="0" t="str">
        <f aca="false">_xlfn.CONCAT(G255,H255)</f>
        <v>AHCN2005GESTION CADENA DE SUMINISTROS</v>
      </c>
      <c r="G255" s="0" t="s">
        <v>1695</v>
      </c>
      <c r="H255" s="0" t="s">
        <v>1694</v>
      </c>
    </row>
    <row r="256" customFormat="false" ht="14.65" hidden="false" customHeight="false" outlineLevel="0" collapsed="false">
      <c r="A256" s="43" t="s">
        <v>1178</v>
      </c>
      <c r="B256" s="44" t="s">
        <v>1202</v>
      </c>
      <c r="C256" s="45" t="s">
        <v>1696</v>
      </c>
      <c r="F256" s="0" t="str">
        <f aca="false">_xlfn.CONCAT(G256,H256)</f>
        <v>AHCN2007VALORACION  Y ADQUISICION EMPR</v>
      </c>
      <c r="G256" s="0" t="s">
        <v>1697</v>
      </c>
      <c r="H256" s="0" t="s">
        <v>1696</v>
      </c>
    </row>
    <row r="257" customFormat="false" ht="14.65" hidden="false" customHeight="false" outlineLevel="0" collapsed="false">
      <c r="A257" s="43" t="s">
        <v>1178</v>
      </c>
      <c r="B257" s="44" t="s">
        <v>1205</v>
      </c>
      <c r="C257" s="45" t="s">
        <v>1130</v>
      </c>
      <c r="F257" s="0" t="str">
        <f aca="false">_xlfn.CONCAT(G257,H257)</f>
        <v>AHCN2008METODOS DE INVESTIGACION</v>
      </c>
      <c r="G257" s="0" t="s">
        <v>1698</v>
      </c>
      <c r="H257" s="0" t="s">
        <v>1130</v>
      </c>
    </row>
    <row r="258" customFormat="false" ht="14.65" hidden="false" customHeight="false" outlineLevel="0" collapsed="false">
      <c r="A258" s="43" t="s">
        <v>1178</v>
      </c>
      <c r="B258" s="44" t="s">
        <v>1208</v>
      </c>
      <c r="C258" s="45" t="s">
        <v>1052</v>
      </c>
      <c r="F258" s="0" t="str">
        <f aca="false">_xlfn.CONCAT(G258,H258)</f>
        <v>AHCN2009TRABAJO FINAL DE GRADUACION</v>
      </c>
      <c r="G258" s="0" t="s">
        <v>1699</v>
      </c>
      <c r="H258" s="0" t="s">
        <v>1052</v>
      </c>
    </row>
    <row r="259" customFormat="false" ht="14.65" hidden="false" customHeight="false" outlineLevel="0" collapsed="false">
      <c r="A259" s="43" t="s">
        <v>1178</v>
      </c>
      <c r="B259" s="44" t="s">
        <v>1232</v>
      </c>
      <c r="C259" s="45" t="s">
        <v>1700</v>
      </c>
      <c r="F259" s="0" t="str">
        <f aca="false">_xlfn.CONCAT(G259,H259)</f>
        <v>AHCN2016SISTEMAS DE INFORMACION</v>
      </c>
      <c r="G259" s="0" t="s">
        <v>1701</v>
      </c>
      <c r="H259" s="0" t="s">
        <v>1700</v>
      </c>
    </row>
    <row r="260" customFormat="false" ht="14.65" hidden="false" customHeight="false" outlineLevel="0" collapsed="false">
      <c r="A260" s="43" t="s">
        <v>1178</v>
      </c>
      <c r="B260" s="44" t="s">
        <v>1702</v>
      </c>
      <c r="C260" s="45" t="s">
        <v>1703</v>
      </c>
      <c r="F260" s="0" t="str">
        <f aca="false">_xlfn.CONCAT(G260,H260)</f>
        <v>AHCN2022ADMINISTRACION DE LA DISTRIBUC</v>
      </c>
      <c r="G260" s="0" t="s">
        <v>1704</v>
      </c>
      <c r="H260" s="0" t="s">
        <v>1703</v>
      </c>
    </row>
    <row r="261" customFormat="false" ht="14.65" hidden="false" customHeight="false" outlineLevel="0" collapsed="false">
      <c r="A261" s="43" t="s">
        <v>1178</v>
      </c>
      <c r="B261" s="44" t="s">
        <v>1705</v>
      </c>
      <c r="C261" s="45" t="s">
        <v>1706</v>
      </c>
      <c r="F261" s="0" t="str">
        <f aca="false">_xlfn.CONCAT(G261,H261)</f>
        <v>AHCN2027INVESTIGACION DE MERCADOS II</v>
      </c>
      <c r="G261" s="0" t="s">
        <v>1707</v>
      </c>
      <c r="H261" s="0" t="s">
        <v>1706</v>
      </c>
    </row>
    <row r="262" customFormat="false" ht="14.65" hidden="false" customHeight="false" outlineLevel="0" collapsed="false">
      <c r="A262" s="43" t="s">
        <v>1178</v>
      </c>
      <c r="B262" s="44" t="s">
        <v>1708</v>
      </c>
      <c r="C262" s="45" t="s">
        <v>1709</v>
      </c>
      <c r="F262" s="0" t="str">
        <f aca="false">_xlfn.CONCAT(G262,H262)</f>
        <v>AHCN2028MERCADEO DE SERVICIOS</v>
      </c>
      <c r="G262" s="0" t="s">
        <v>1710</v>
      </c>
      <c r="H262" s="0" t="s">
        <v>1709</v>
      </c>
    </row>
    <row r="263" customFormat="false" ht="14.65" hidden="false" customHeight="false" outlineLevel="0" collapsed="false">
      <c r="A263" s="43" t="s">
        <v>1178</v>
      </c>
      <c r="B263" s="44" t="s">
        <v>1711</v>
      </c>
      <c r="C263" s="45" t="s">
        <v>1712</v>
      </c>
      <c r="F263" s="0" t="str">
        <f aca="false">_xlfn.CONCAT(G263,H263)</f>
        <v>AHCN2024COMPORTAMIENTO DEL CONSUMIDOR</v>
      </c>
      <c r="G263" s="0" t="s">
        <v>1713</v>
      </c>
      <c r="H263" s="0" t="s">
        <v>1712</v>
      </c>
    </row>
    <row r="264" customFormat="false" ht="14.65" hidden="false" customHeight="false" outlineLevel="0" collapsed="false">
      <c r="A264" s="43" t="s">
        <v>1178</v>
      </c>
      <c r="B264" s="44" t="s">
        <v>1714</v>
      </c>
      <c r="C264" s="45" t="s">
        <v>1354</v>
      </c>
      <c r="F264" s="0" t="str">
        <f aca="false">_xlfn.CONCAT(G264,H264)</f>
        <v>AHCN2030SEMINARIO DE GRADUACION I</v>
      </c>
      <c r="G264" s="0" t="s">
        <v>1715</v>
      </c>
      <c r="H264" s="0" t="s">
        <v>1354</v>
      </c>
    </row>
    <row r="265" customFormat="false" ht="14.65" hidden="false" customHeight="false" outlineLevel="0" collapsed="false">
      <c r="A265" s="43" t="s">
        <v>1178</v>
      </c>
      <c r="B265" s="44" t="s">
        <v>1716</v>
      </c>
      <c r="C265" s="45" t="s">
        <v>1233</v>
      </c>
      <c r="F265" s="0" t="str">
        <f aca="false">_xlfn.CONCAT(G265,H265)</f>
        <v>AHCN2045PROYECTO DE GRADUACION</v>
      </c>
      <c r="G265" s="0" t="s">
        <v>1717</v>
      </c>
      <c r="H265" s="0" t="s">
        <v>1233</v>
      </c>
    </row>
    <row r="266" customFormat="false" ht="14.65" hidden="false" customHeight="false" outlineLevel="0" collapsed="false">
      <c r="A266" s="43" t="s">
        <v>1178</v>
      </c>
      <c r="B266" s="44" t="s">
        <v>1718</v>
      </c>
      <c r="C266" s="45" t="s">
        <v>1236</v>
      </c>
      <c r="F266" s="0" t="str">
        <f aca="false">_xlfn.CONCAT(G266,H266)</f>
        <v>AHCN2046TESIS DE GRADO</v>
      </c>
      <c r="G266" s="0" t="s">
        <v>1719</v>
      </c>
      <c r="H266" s="0" t="s">
        <v>1236</v>
      </c>
    </row>
    <row r="267" customFormat="false" ht="14.65" hidden="false" customHeight="false" outlineLevel="0" collapsed="false">
      <c r="A267" s="43" t="s">
        <v>1178</v>
      </c>
      <c r="B267" s="44" t="s">
        <v>1720</v>
      </c>
      <c r="C267" s="45" t="s">
        <v>1721</v>
      </c>
      <c r="F267" s="0" t="str">
        <f aca="false">_xlfn.CONCAT(G267,H267)</f>
        <v>AHCN2025DESARROLLO ORGANIZACIONAL</v>
      </c>
      <c r="G267" s="0" t="s">
        <v>1722</v>
      </c>
      <c r="H267" s="0" t="s">
        <v>1721</v>
      </c>
    </row>
    <row r="268" customFormat="false" ht="14.65" hidden="false" customHeight="false" outlineLevel="0" collapsed="false">
      <c r="A268" s="43" t="s">
        <v>1178</v>
      </c>
      <c r="B268" s="44" t="s">
        <v>1723</v>
      </c>
      <c r="C268" s="45" t="s">
        <v>1724</v>
      </c>
      <c r="F268" s="0" t="str">
        <f aca="false">_xlfn.CONCAT(G268,H268)</f>
        <v>AHCN2023CAPACITACION Y DESARROLLO</v>
      </c>
      <c r="G268" s="0" t="s">
        <v>1725</v>
      </c>
      <c r="H268" s="0" t="s">
        <v>1724</v>
      </c>
    </row>
    <row r="269" customFormat="false" ht="14.65" hidden="false" customHeight="false" outlineLevel="0" collapsed="false">
      <c r="A269" s="43" t="s">
        <v>1178</v>
      </c>
      <c r="B269" s="44" t="s">
        <v>1726</v>
      </c>
      <c r="C269" s="45" t="s">
        <v>1354</v>
      </c>
      <c r="F269" s="0" t="str">
        <f aca="false">_xlfn.CONCAT(G269,H269)</f>
        <v>AHCN2031SEMINARIO DE GRADUACION I</v>
      </c>
      <c r="G269" s="0" t="s">
        <v>1727</v>
      </c>
      <c r="H269" s="0" t="s">
        <v>1354</v>
      </c>
    </row>
    <row r="270" customFormat="false" ht="14.65" hidden="false" customHeight="false" outlineLevel="0" collapsed="false">
      <c r="A270" s="43" t="s">
        <v>1178</v>
      </c>
      <c r="B270" s="44" t="s">
        <v>1728</v>
      </c>
      <c r="C270" s="45" t="s">
        <v>1729</v>
      </c>
      <c r="F270" s="0" t="str">
        <f aca="false">_xlfn.CONCAT(G270,H270)</f>
        <v>AHCN2026GESTION GERENCIAL</v>
      </c>
      <c r="G270" s="0" t="s">
        <v>1730</v>
      </c>
      <c r="H270" s="0" t="s">
        <v>1729</v>
      </c>
    </row>
    <row r="271" customFormat="false" ht="14.65" hidden="false" customHeight="false" outlineLevel="0" collapsed="false">
      <c r="A271" s="43" t="s">
        <v>1178</v>
      </c>
      <c r="B271" s="44" t="s">
        <v>1731</v>
      </c>
      <c r="C271" s="45" t="s">
        <v>1732</v>
      </c>
      <c r="F271" s="0" t="str">
        <f aca="false">_xlfn.CONCAT(G271,H271)</f>
        <v>AHCN2029RECLUTAM Y SELECCION AVANZADA</v>
      </c>
      <c r="G271" s="0" t="s">
        <v>1733</v>
      </c>
      <c r="H271" s="0" t="s">
        <v>1732</v>
      </c>
    </row>
    <row r="272" customFormat="false" ht="14.65" hidden="false" customHeight="false" outlineLevel="0" collapsed="false">
      <c r="A272" s="43" t="s">
        <v>1178</v>
      </c>
      <c r="B272" s="44" t="s">
        <v>1734</v>
      </c>
      <c r="C272" s="45" t="s">
        <v>1735</v>
      </c>
      <c r="F272" s="0" t="str">
        <f aca="false">_xlfn.CONCAT(G272,H272)</f>
        <v>AHCN2032SEMINARIO DE GRADUACCION II</v>
      </c>
      <c r="G272" s="0" t="s">
        <v>1736</v>
      </c>
      <c r="H272" s="0" t="s">
        <v>1735</v>
      </c>
    </row>
    <row r="273" customFormat="false" ht="14.65" hidden="false" customHeight="false" outlineLevel="0" collapsed="false">
      <c r="A273" s="43" t="s">
        <v>1178</v>
      </c>
      <c r="B273" s="44" t="s">
        <v>1737</v>
      </c>
      <c r="C273" s="45" t="s">
        <v>1233</v>
      </c>
      <c r="F273" s="0" t="str">
        <f aca="false">_xlfn.CONCAT(G273,H273)</f>
        <v>AHCN2047PROYECTO DE GRADUACION</v>
      </c>
      <c r="G273" s="0" t="s">
        <v>1738</v>
      </c>
      <c r="H273" s="0" t="s">
        <v>1233</v>
      </c>
    </row>
    <row r="274" customFormat="false" ht="14.65" hidden="false" customHeight="false" outlineLevel="0" collapsed="false">
      <c r="A274" s="43" t="s">
        <v>1178</v>
      </c>
      <c r="B274" s="44" t="s">
        <v>1739</v>
      </c>
      <c r="C274" s="45" t="s">
        <v>1236</v>
      </c>
      <c r="F274" s="0" t="str">
        <f aca="false">_xlfn.CONCAT(G274,H274)</f>
        <v>AHCN2048TESIS DE GRADO</v>
      </c>
      <c r="G274" s="0" t="s">
        <v>1740</v>
      </c>
      <c r="H274" s="0" t="s">
        <v>1236</v>
      </c>
    </row>
    <row r="275" customFormat="false" ht="14.65" hidden="false" customHeight="false" outlineLevel="0" collapsed="false">
      <c r="A275" s="43" t="s">
        <v>1178</v>
      </c>
      <c r="B275" s="44" t="s">
        <v>1741</v>
      </c>
      <c r="C275" s="45" t="s">
        <v>1742</v>
      </c>
      <c r="F275" s="0" t="str">
        <f aca="false">_xlfn.CONCAT(G275,H275)</f>
        <v>AHCN2051CONTABILIDAD SUPERIOR I</v>
      </c>
      <c r="G275" s="0" t="s">
        <v>1743</v>
      </c>
      <c r="H275" s="0" t="s">
        <v>1742</v>
      </c>
    </row>
    <row r="276" customFormat="false" ht="14.65" hidden="false" customHeight="false" outlineLevel="0" collapsed="false">
      <c r="A276" s="43" t="s">
        <v>1178</v>
      </c>
      <c r="B276" s="44" t="s">
        <v>1744</v>
      </c>
      <c r="C276" s="45" t="s">
        <v>1745</v>
      </c>
      <c r="F276" s="0" t="str">
        <f aca="false">_xlfn.CONCAT(G276,H276)</f>
        <v>AHCN2052AUDITORIA OPERATIVA</v>
      </c>
      <c r="G276" s="0" t="s">
        <v>1746</v>
      </c>
      <c r="H276" s="0" t="s">
        <v>1745</v>
      </c>
    </row>
    <row r="277" customFormat="false" ht="14.65" hidden="false" customHeight="false" outlineLevel="0" collapsed="false">
      <c r="A277" s="43" t="s">
        <v>1178</v>
      </c>
      <c r="B277" s="44" t="s">
        <v>1747</v>
      </c>
      <c r="C277" s="45" t="s">
        <v>1748</v>
      </c>
      <c r="F277" s="0" t="str">
        <f aca="false">_xlfn.CONCAT(G277,H277)</f>
        <v>AHCN2053AUDITORIA INFORMATICA</v>
      </c>
      <c r="G277" s="0" t="s">
        <v>1749</v>
      </c>
      <c r="H277" s="0" t="s">
        <v>1748</v>
      </c>
    </row>
    <row r="278" customFormat="false" ht="14.65" hidden="false" customHeight="false" outlineLevel="0" collapsed="false">
      <c r="A278" s="43" t="s">
        <v>1178</v>
      </c>
      <c r="B278" s="44" t="s">
        <v>1750</v>
      </c>
      <c r="C278" s="45" t="s">
        <v>1751</v>
      </c>
      <c r="F278" s="0" t="str">
        <f aca="false">_xlfn.CONCAT(G278,H278)</f>
        <v>AHCN2054AUDITORIA FINANCIERA</v>
      </c>
      <c r="G278" s="0" t="s">
        <v>1752</v>
      </c>
      <c r="H278" s="0" t="s">
        <v>1751</v>
      </c>
    </row>
    <row r="279" customFormat="false" ht="14.65" hidden="false" customHeight="false" outlineLevel="0" collapsed="false">
      <c r="A279" s="43" t="s">
        <v>1178</v>
      </c>
      <c r="B279" s="44" t="s">
        <v>1753</v>
      </c>
      <c r="C279" s="45" t="s">
        <v>1754</v>
      </c>
      <c r="F279" s="0" t="str">
        <f aca="false">_xlfn.CONCAT(G279,H279)</f>
        <v>AHCN2055AUDITORIA TRIBUTARIA</v>
      </c>
      <c r="G279" s="0" t="s">
        <v>1755</v>
      </c>
      <c r="H279" s="0" t="s">
        <v>1754</v>
      </c>
    </row>
    <row r="280" customFormat="false" ht="14.65" hidden="false" customHeight="false" outlineLevel="0" collapsed="false">
      <c r="A280" s="43" t="s">
        <v>1178</v>
      </c>
      <c r="B280" s="44" t="s">
        <v>1756</v>
      </c>
      <c r="C280" s="45" t="s">
        <v>1757</v>
      </c>
      <c r="F280" s="0" t="str">
        <f aca="false">_xlfn.CONCAT(G280,H280)</f>
        <v>AHCN2056CONTABILIDAD SUPERIOR II</v>
      </c>
      <c r="G280" s="0" t="s">
        <v>1758</v>
      </c>
      <c r="H280" s="0" t="s">
        <v>1757</v>
      </c>
    </row>
    <row r="281" customFormat="false" ht="14.65" hidden="false" customHeight="false" outlineLevel="0" collapsed="false">
      <c r="A281" s="43" t="s">
        <v>1178</v>
      </c>
      <c r="B281" s="44" t="s">
        <v>1759</v>
      </c>
      <c r="C281" s="45" t="s">
        <v>1760</v>
      </c>
      <c r="F281" s="0" t="str">
        <f aca="false">_xlfn.CONCAT(G281,H281)</f>
        <v>AHCN2057CONSULT E INFORMES FINANC CPA</v>
      </c>
      <c r="G281" s="0" t="s">
        <v>1761</v>
      </c>
      <c r="H281" s="0" t="s">
        <v>1760</v>
      </c>
    </row>
    <row r="282" customFormat="false" ht="14.65" hidden="false" customHeight="false" outlineLevel="0" collapsed="false">
      <c r="A282" s="43" t="s">
        <v>1178</v>
      </c>
      <c r="B282" s="44" t="s">
        <v>1762</v>
      </c>
      <c r="C282" s="45" t="s">
        <v>1763</v>
      </c>
      <c r="F282" s="0" t="str">
        <f aca="false">_xlfn.CONCAT(G282,H282)</f>
        <v>AHCN2058PLANIFICACION Y PRESUPUESTO</v>
      </c>
      <c r="G282" s="0" t="s">
        <v>1764</v>
      </c>
      <c r="H282" s="0" t="s">
        <v>1763</v>
      </c>
    </row>
    <row r="283" customFormat="false" ht="14.65" hidden="false" customHeight="false" outlineLevel="0" collapsed="false">
      <c r="A283" s="43" t="s">
        <v>1178</v>
      </c>
      <c r="B283" s="44" t="s">
        <v>1765</v>
      </c>
      <c r="C283" s="45" t="s">
        <v>1766</v>
      </c>
      <c r="F283" s="0" t="str">
        <f aca="false">_xlfn.CONCAT(G283,H283)</f>
        <v>AHCN2059SEMINARIO GRADUACION</v>
      </c>
      <c r="G283" s="0" t="s">
        <v>1767</v>
      </c>
      <c r="H283" s="0" t="s">
        <v>1766</v>
      </c>
    </row>
    <row r="284" customFormat="false" ht="14.65" hidden="false" customHeight="false" outlineLevel="0" collapsed="false">
      <c r="A284" s="43" t="s">
        <v>1178</v>
      </c>
      <c r="B284" s="44" t="s">
        <v>1768</v>
      </c>
      <c r="C284" s="45" t="s">
        <v>1233</v>
      </c>
      <c r="F284" s="0" t="str">
        <f aca="false">_xlfn.CONCAT(G284,H284)</f>
        <v>AHCN2049PROYECTO DE GRADUACION</v>
      </c>
      <c r="G284" s="0" t="s">
        <v>1769</v>
      </c>
      <c r="H284" s="0" t="s">
        <v>1233</v>
      </c>
    </row>
    <row r="285" customFormat="false" ht="14.65" hidden="false" customHeight="false" outlineLevel="0" collapsed="false">
      <c r="A285" s="43" t="s">
        <v>1178</v>
      </c>
      <c r="B285" s="44" t="s">
        <v>1770</v>
      </c>
      <c r="C285" s="45" t="s">
        <v>1236</v>
      </c>
      <c r="F285" s="0" t="str">
        <f aca="false">_xlfn.CONCAT(G285,H285)</f>
        <v>AHCN2050TESIS DE GRADO</v>
      </c>
      <c r="G285" s="0" t="s">
        <v>1771</v>
      </c>
      <c r="H285" s="0" t="s">
        <v>1236</v>
      </c>
    </row>
    <row r="286" customFormat="false" ht="14.65" hidden="false" customHeight="false" outlineLevel="0" collapsed="false">
      <c r="A286" s="43" t="s">
        <v>1175</v>
      </c>
      <c r="B286" s="44" t="s">
        <v>1181</v>
      </c>
      <c r="C286" s="45" t="s">
        <v>1772</v>
      </c>
      <c r="F286" s="0" t="str">
        <f aca="false">_xlfn.CONCAT(G286,H286)</f>
        <v>CSCE2000TEORIA DE LA EDUCACION</v>
      </c>
      <c r="G286" s="0" t="s">
        <v>1773</v>
      </c>
      <c r="H286" s="0" t="s">
        <v>1772</v>
      </c>
    </row>
    <row r="287" customFormat="false" ht="14.65" hidden="false" customHeight="false" outlineLevel="0" collapsed="false">
      <c r="A287" s="43" t="s">
        <v>1175</v>
      </c>
      <c r="B287" s="44" t="s">
        <v>1184</v>
      </c>
      <c r="C287" s="45" t="s">
        <v>1774</v>
      </c>
      <c r="F287" s="0" t="str">
        <f aca="false">_xlfn.CONCAT(G287,H287)</f>
        <v>CSCE2001NUEVOS ENTORNOS DE APRENDIZAJ</v>
      </c>
      <c r="G287" s="0" t="s">
        <v>1775</v>
      </c>
      <c r="H287" s="0" t="s">
        <v>1774</v>
      </c>
    </row>
    <row r="288" customFormat="false" ht="14.65" hidden="false" customHeight="false" outlineLevel="0" collapsed="false">
      <c r="A288" s="43" t="s">
        <v>1175</v>
      </c>
      <c r="B288" s="44" t="s">
        <v>1187</v>
      </c>
      <c r="C288" s="45" t="s">
        <v>1776</v>
      </c>
      <c r="F288" s="0" t="str">
        <f aca="false">_xlfn.CONCAT(G288,H288)</f>
        <v>CSCE2002DISENO CURRICULAR</v>
      </c>
      <c r="G288" s="0" t="s">
        <v>1777</v>
      </c>
      <c r="H288" s="0" t="s">
        <v>1776</v>
      </c>
    </row>
    <row r="289" customFormat="false" ht="14.65" hidden="false" customHeight="false" outlineLevel="0" collapsed="false">
      <c r="A289" s="43" t="s">
        <v>1175</v>
      </c>
      <c r="B289" s="44" t="s">
        <v>1190</v>
      </c>
      <c r="C289" s="45" t="s">
        <v>1778</v>
      </c>
      <c r="F289" s="0" t="str">
        <f aca="false">_xlfn.CONCAT(G289,H289)</f>
        <v>CSCE2003EVALUACION DEL APRENDIZAJE</v>
      </c>
      <c r="G289" s="0" t="s">
        <v>1779</v>
      </c>
      <c r="H289" s="0" t="s">
        <v>1778</v>
      </c>
    </row>
    <row r="290" customFormat="false" ht="14.65" hidden="false" customHeight="false" outlineLevel="0" collapsed="false">
      <c r="A290" s="43" t="s">
        <v>1175</v>
      </c>
      <c r="B290" s="44" t="s">
        <v>1193</v>
      </c>
      <c r="C290" s="45" t="s">
        <v>1780</v>
      </c>
      <c r="F290" s="0" t="str">
        <f aca="false">_xlfn.CONCAT(G290,H290)</f>
        <v>CSCE2004DES APR ETAPAS CIC VIT SER HUM</v>
      </c>
      <c r="G290" s="0" t="s">
        <v>1781</v>
      </c>
      <c r="H290" s="0" t="s">
        <v>1780</v>
      </c>
    </row>
    <row r="291" customFormat="false" ht="14.65" hidden="false" customHeight="false" outlineLevel="0" collapsed="false">
      <c r="A291" s="43" t="s">
        <v>1175</v>
      </c>
      <c r="B291" s="44" t="s">
        <v>1196</v>
      </c>
      <c r="C291" s="45" t="s">
        <v>1782</v>
      </c>
      <c r="F291" s="0" t="str">
        <f aca="false">_xlfn.CONCAT(G291,H291)</f>
        <v>CSCE2005ENTORNO LEGAL EDUCACION CR</v>
      </c>
      <c r="G291" s="0" t="s">
        <v>1783</v>
      </c>
      <c r="H291" s="0" t="s">
        <v>1782</v>
      </c>
    </row>
    <row r="292" customFormat="false" ht="14.65" hidden="false" customHeight="false" outlineLevel="0" collapsed="false">
      <c r="A292" s="43" t="s">
        <v>1175</v>
      </c>
      <c r="B292" s="44" t="s">
        <v>1199</v>
      </c>
      <c r="C292" s="45" t="s">
        <v>1435</v>
      </c>
      <c r="F292" s="0" t="str">
        <f aca="false">_xlfn.CONCAT(G292,H292)</f>
        <v>CSCE2006METODOLOGIA DE LA INVESTIGAC</v>
      </c>
      <c r="G292" s="0" t="s">
        <v>1784</v>
      </c>
      <c r="H292" s="0" t="s">
        <v>1435</v>
      </c>
    </row>
    <row r="293" customFormat="false" ht="14.65" hidden="false" customHeight="false" outlineLevel="0" collapsed="false">
      <c r="A293" s="43" t="s">
        <v>1175</v>
      </c>
      <c r="B293" s="44" t="s">
        <v>1202</v>
      </c>
      <c r="C293" s="45" t="s">
        <v>1785</v>
      </c>
      <c r="F293" s="0" t="str">
        <f aca="false">_xlfn.CONCAT(G293,H293)</f>
        <v>CSCE2007ATENCION DIVERSIDAD EDUCAC CR</v>
      </c>
      <c r="G293" s="0" t="s">
        <v>1786</v>
      </c>
      <c r="H293" s="0" t="s">
        <v>1785</v>
      </c>
    </row>
    <row r="294" customFormat="false" ht="14.65" hidden="false" customHeight="false" outlineLevel="0" collapsed="false">
      <c r="A294" s="43" t="s">
        <v>1175</v>
      </c>
      <c r="B294" s="44" t="s">
        <v>1205</v>
      </c>
      <c r="C294" s="45" t="s">
        <v>1052</v>
      </c>
      <c r="F294" s="0" t="str">
        <f aca="false">_xlfn.CONCAT(G294,H294)</f>
        <v>CSCE2008TRABAJO FINAL DE GRADUACION</v>
      </c>
      <c r="G294" s="0" t="s">
        <v>1787</v>
      </c>
      <c r="H294" s="0" t="s">
        <v>1052</v>
      </c>
    </row>
    <row r="295" customFormat="false" ht="14.65" hidden="false" customHeight="false" outlineLevel="0" collapsed="false">
      <c r="A295" s="43" t="s">
        <v>1175</v>
      </c>
      <c r="B295" s="44" t="s">
        <v>1208</v>
      </c>
      <c r="C295" s="45" t="s">
        <v>1236</v>
      </c>
      <c r="F295" s="0" t="str">
        <f aca="false">_xlfn.CONCAT(G295,H295)</f>
        <v>CSCE2009TESIS DE GRADO</v>
      </c>
      <c r="G295" s="0" t="s">
        <v>1788</v>
      </c>
      <c r="H295" s="0" t="s">
        <v>1236</v>
      </c>
    </row>
    <row r="296" customFormat="false" ht="14.65" hidden="false" customHeight="false" outlineLevel="0" collapsed="false">
      <c r="A296" s="43" t="s">
        <v>1175</v>
      </c>
      <c r="B296" s="44" t="s">
        <v>1367</v>
      </c>
      <c r="C296" s="45" t="s">
        <v>1789</v>
      </c>
      <c r="F296" s="0" t="str">
        <f aca="false">_xlfn.CONCAT(G296,H296)</f>
        <v>CSCE0101FUND. HIST Y FILOSOF. EDUC</v>
      </c>
      <c r="G296" s="0" t="s">
        <v>1790</v>
      </c>
      <c r="H296" s="0" t="s">
        <v>1789</v>
      </c>
    </row>
    <row r="297" customFormat="false" ht="14.65" hidden="false" customHeight="false" outlineLevel="0" collapsed="false">
      <c r="A297" s="43" t="s">
        <v>1175</v>
      </c>
      <c r="B297" s="44" t="s">
        <v>1078</v>
      </c>
      <c r="C297" s="45" t="s">
        <v>1791</v>
      </c>
      <c r="F297" s="0" t="str">
        <f aca="false">_xlfn.CONCAT(G297,H297)</f>
        <v>CSCE0002CIENCIAS I</v>
      </c>
      <c r="G297" s="0" t="s">
        <v>1792</v>
      </c>
      <c r="H297" s="0" t="s">
        <v>1791</v>
      </c>
    </row>
    <row r="298" customFormat="false" ht="14.65" hidden="false" customHeight="false" outlineLevel="0" collapsed="false">
      <c r="A298" s="43" t="s">
        <v>1175</v>
      </c>
      <c r="B298" s="44" t="s">
        <v>1081</v>
      </c>
      <c r="C298" s="45" t="s">
        <v>1793</v>
      </c>
      <c r="F298" s="0" t="str">
        <f aca="false">_xlfn.CONCAT(G298,H298)</f>
        <v>CSCE0003ESTUDIOS SOCIALES I</v>
      </c>
      <c r="G298" s="0" t="s">
        <v>1794</v>
      </c>
      <c r="H298" s="0" t="s">
        <v>1793</v>
      </c>
    </row>
    <row r="299" customFormat="false" ht="14.65" hidden="false" customHeight="false" outlineLevel="0" collapsed="false">
      <c r="A299" s="43" t="s">
        <v>1175</v>
      </c>
      <c r="B299" s="44" t="s">
        <v>1162</v>
      </c>
      <c r="C299" s="45" t="s">
        <v>1250</v>
      </c>
      <c r="F299" s="0" t="str">
        <f aca="false">_xlfn.CONCAT(G299,H299)</f>
        <v>CSCE0004REDACCION Y ORTOGRAFIA</v>
      </c>
      <c r="G299" s="0" t="s">
        <v>1795</v>
      </c>
      <c r="H299" s="0" t="s">
        <v>1250</v>
      </c>
    </row>
    <row r="300" customFormat="false" ht="14.65" hidden="false" customHeight="false" outlineLevel="0" collapsed="false">
      <c r="A300" s="43" t="s">
        <v>1175</v>
      </c>
      <c r="B300" s="44" t="s">
        <v>1513</v>
      </c>
      <c r="C300" s="45" t="s">
        <v>1796</v>
      </c>
      <c r="F300" s="0" t="str">
        <f aca="false">_xlfn.CONCAT(G300,H300)</f>
        <v>CSCE0123CIENCIAS II</v>
      </c>
      <c r="G300" s="0" t="s">
        <v>1797</v>
      </c>
      <c r="H300" s="0" t="s">
        <v>1796</v>
      </c>
    </row>
    <row r="301" customFormat="false" ht="14.65" hidden="false" customHeight="false" outlineLevel="0" collapsed="false">
      <c r="A301" s="43" t="s">
        <v>1175</v>
      </c>
      <c r="B301" s="44" t="s">
        <v>1087</v>
      </c>
      <c r="C301" s="45" t="s">
        <v>1798</v>
      </c>
      <c r="F301" s="0" t="str">
        <f aca="false">_xlfn.CONCAT(G301,H301)</f>
        <v>CSCE0006TECNICAS DE LECTOESCRITURA</v>
      </c>
      <c r="G301" s="0" t="s">
        <v>1799</v>
      </c>
      <c r="H301" s="0" t="s">
        <v>1798</v>
      </c>
    </row>
    <row r="302" customFormat="false" ht="14.65" hidden="false" customHeight="false" outlineLevel="0" collapsed="false">
      <c r="A302" s="43" t="s">
        <v>1175</v>
      </c>
      <c r="B302" s="44" t="s">
        <v>1559</v>
      </c>
      <c r="C302" s="45" t="s">
        <v>1800</v>
      </c>
      <c r="F302" s="0" t="str">
        <f aca="false">_xlfn.CONCAT(G302,H302)</f>
        <v>CSCE0124ESTUDIOS SOCIALES II</v>
      </c>
      <c r="G302" s="0" t="s">
        <v>1801</v>
      </c>
      <c r="H302" s="0" t="s">
        <v>1800</v>
      </c>
    </row>
    <row r="303" customFormat="false" ht="14.65" hidden="false" customHeight="false" outlineLevel="0" collapsed="false">
      <c r="A303" s="43" t="s">
        <v>1175</v>
      </c>
      <c r="B303" s="44" t="s">
        <v>1802</v>
      </c>
      <c r="C303" s="45" t="s">
        <v>1803</v>
      </c>
      <c r="F303" s="0" t="str">
        <f aca="false">_xlfn.CONCAT(G303,H303)</f>
        <v>CSCE0125DESTREZAS DEL IDIOMA</v>
      </c>
      <c r="G303" s="0" t="s">
        <v>1804</v>
      </c>
      <c r="H303" s="0" t="s">
        <v>1803</v>
      </c>
    </row>
    <row r="304" customFormat="false" ht="14.65" hidden="false" customHeight="false" outlineLevel="0" collapsed="false">
      <c r="A304" s="43" t="s">
        <v>1175</v>
      </c>
      <c r="B304" s="44" t="s">
        <v>1805</v>
      </c>
      <c r="C304" s="45" t="s">
        <v>1776</v>
      </c>
      <c r="F304" s="0" t="str">
        <f aca="false">_xlfn.CONCAT(G304,H304)</f>
        <v>CSCE0126DISENO CURRICULAR</v>
      </c>
      <c r="G304" s="0" t="s">
        <v>1806</v>
      </c>
      <c r="H304" s="0" t="s">
        <v>1776</v>
      </c>
    </row>
    <row r="305" customFormat="false" ht="14.65" hidden="false" customHeight="false" outlineLevel="0" collapsed="false">
      <c r="A305" s="43" t="s">
        <v>1175</v>
      </c>
      <c r="B305" s="44" t="s">
        <v>1099</v>
      </c>
      <c r="C305" s="45" t="s">
        <v>1807</v>
      </c>
      <c r="F305" s="0" t="str">
        <f aca="false">_xlfn.CONCAT(G305,H305)</f>
        <v>CSCE0010DIDACTICA I</v>
      </c>
      <c r="G305" s="0" t="s">
        <v>1808</v>
      </c>
      <c r="H305" s="0" t="s">
        <v>1807</v>
      </c>
    </row>
    <row r="306" customFormat="false" ht="14.65" hidden="false" customHeight="false" outlineLevel="0" collapsed="false">
      <c r="A306" s="43" t="s">
        <v>1175</v>
      </c>
      <c r="B306" s="44" t="s">
        <v>1102</v>
      </c>
      <c r="C306" s="45" t="s">
        <v>1809</v>
      </c>
      <c r="F306" s="0" t="str">
        <f aca="false">_xlfn.CONCAT(G306,H306)</f>
        <v>CSCE0011EVALUACION I PARA I Y II CICLO</v>
      </c>
      <c r="G306" s="0" t="s">
        <v>1810</v>
      </c>
      <c r="H306" s="0" t="s">
        <v>1809</v>
      </c>
    </row>
    <row r="307" customFormat="false" ht="14.65" hidden="false" customHeight="false" outlineLevel="0" collapsed="false">
      <c r="A307" s="43" t="s">
        <v>1175</v>
      </c>
      <c r="B307" s="44" t="s">
        <v>1105</v>
      </c>
      <c r="C307" s="45" t="s">
        <v>1811</v>
      </c>
      <c r="F307" s="0" t="str">
        <f aca="false">_xlfn.CONCAT(G307,H307)</f>
        <v>CSCE0012TALLER MATERIALES DIDACTICOS</v>
      </c>
      <c r="G307" s="0" t="s">
        <v>1812</v>
      </c>
      <c r="H307" s="0" t="s">
        <v>1811</v>
      </c>
    </row>
    <row r="308" customFormat="false" ht="14.65" hidden="false" customHeight="false" outlineLevel="0" collapsed="false">
      <c r="A308" s="43" t="s">
        <v>1175</v>
      </c>
      <c r="B308" s="44" t="s">
        <v>1108</v>
      </c>
      <c r="C308" s="45" t="s">
        <v>1813</v>
      </c>
      <c r="F308" s="0" t="str">
        <f aca="false">_xlfn.CONCAT(G308,H308)</f>
        <v>CSCE0013DIDACTICA II</v>
      </c>
      <c r="G308" s="0" t="s">
        <v>1814</v>
      </c>
      <c r="H308" s="0" t="s">
        <v>1813</v>
      </c>
    </row>
    <row r="309" customFormat="false" ht="14.65" hidden="false" customHeight="false" outlineLevel="0" collapsed="false">
      <c r="A309" s="43" t="s">
        <v>1175</v>
      </c>
      <c r="B309" s="44" t="s">
        <v>1111</v>
      </c>
      <c r="C309" s="45" t="s">
        <v>842</v>
      </c>
      <c r="F309" s="0" t="str">
        <f aca="false">_xlfn.CONCAT(G309,H309)</f>
        <v>CSCE0014LITERATURA INFANTIL</v>
      </c>
      <c r="G309" s="0" t="s">
        <v>1815</v>
      </c>
      <c r="H309" s="0" t="s">
        <v>842</v>
      </c>
    </row>
    <row r="310" customFormat="false" ht="14.65" hidden="false" customHeight="false" outlineLevel="0" collapsed="false">
      <c r="A310" s="43" t="s">
        <v>1175</v>
      </c>
      <c r="B310" s="44" t="s">
        <v>1114</v>
      </c>
      <c r="C310" s="45" t="s">
        <v>1816</v>
      </c>
      <c r="F310" s="0" t="str">
        <f aca="false">_xlfn.CONCAT(G310,H310)</f>
        <v>CSCE0015EVALUAC II PARA I Y II CICLO</v>
      </c>
      <c r="G310" s="0" t="s">
        <v>1817</v>
      </c>
      <c r="H310" s="0" t="s">
        <v>1816</v>
      </c>
    </row>
    <row r="311" customFormat="false" ht="14.65" hidden="false" customHeight="false" outlineLevel="0" collapsed="false">
      <c r="A311" s="43" t="s">
        <v>1175</v>
      </c>
      <c r="B311" s="44" t="s">
        <v>1117</v>
      </c>
      <c r="C311" s="45" t="s">
        <v>1818</v>
      </c>
      <c r="F311" s="0" t="str">
        <f aca="false">_xlfn.CONCAT(G311,H311)</f>
        <v>CSCE0016IMPOSTACION DE LA VOZ</v>
      </c>
      <c r="G311" s="0" t="s">
        <v>1819</v>
      </c>
      <c r="H311" s="0" t="s">
        <v>1818</v>
      </c>
    </row>
    <row r="312" customFormat="false" ht="14.65" hidden="false" customHeight="false" outlineLevel="0" collapsed="false">
      <c r="A312" s="43" t="s">
        <v>1175</v>
      </c>
      <c r="B312" s="44" t="s">
        <v>1120</v>
      </c>
      <c r="C312" s="45" t="s">
        <v>1820</v>
      </c>
      <c r="F312" s="0" t="str">
        <f aca="false">_xlfn.CONCAT(G312,H312)</f>
        <v>CSCE0017EXPRESION CORPORAL</v>
      </c>
      <c r="G312" s="0" t="s">
        <v>1821</v>
      </c>
      <c r="H312" s="0" t="s">
        <v>1820</v>
      </c>
    </row>
    <row r="313" customFormat="false" ht="14.65" hidden="false" customHeight="false" outlineLevel="0" collapsed="false">
      <c r="A313" s="43" t="s">
        <v>1175</v>
      </c>
      <c r="B313" s="44" t="s">
        <v>1123</v>
      </c>
      <c r="C313" s="45" t="s">
        <v>1822</v>
      </c>
      <c r="F313" s="0" t="str">
        <f aca="false">_xlfn.CONCAT(G313,H313)</f>
        <v>CSCE0018PROBLEMAS DEL APRENDIZAJE</v>
      </c>
      <c r="G313" s="0" t="s">
        <v>1823</v>
      </c>
      <c r="H313" s="0" t="s">
        <v>1822</v>
      </c>
    </row>
    <row r="314" customFormat="false" ht="14.65" hidden="false" customHeight="false" outlineLevel="0" collapsed="false">
      <c r="A314" s="43" t="s">
        <v>1175</v>
      </c>
      <c r="B314" s="44" t="s">
        <v>1126</v>
      </c>
      <c r="C314" s="45" t="s">
        <v>1824</v>
      </c>
      <c r="F314" s="0" t="str">
        <f aca="false">_xlfn.CONCAT(G314,H314)</f>
        <v>CSCE0019EXPRESION CREADORA</v>
      </c>
      <c r="G314" s="0" t="s">
        <v>1825</v>
      </c>
      <c r="H314" s="0" t="s">
        <v>1824</v>
      </c>
    </row>
    <row r="315" customFormat="false" ht="14.65" hidden="false" customHeight="false" outlineLevel="0" collapsed="false">
      <c r="A315" s="43" t="s">
        <v>1175</v>
      </c>
      <c r="B315" s="44" t="s">
        <v>1129</v>
      </c>
      <c r="C315" s="45" t="s">
        <v>1826</v>
      </c>
      <c r="F315" s="0" t="str">
        <f aca="false">_xlfn.CONCAT(G315,H315)</f>
        <v>CSCE0021PSICOLOGIA DEL NINO EDAD ESCOL</v>
      </c>
      <c r="G315" s="0" t="s">
        <v>1827</v>
      </c>
      <c r="H315" s="0" t="s">
        <v>1826</v>
      </c>
    </row>
    <row r="316" customFormat="false" ht="14.65" hidden="false" customHeight="false" outlineLevel="0" collapsed="false">
      <c r="A316" s="43" t="s">
        <v>1175</v>
      </c>
      <c r="B316" s="44" t="s">
        <v>1132</v>
      </c>
      <c r="C316" s="45" t="s">
        <v>1828</v>
      </c>
      <c r="F316" s="0" t="str">
        <f aca="false">_xlfn.CONCAT(G316,H316)</f>
        <v>CSCE0022PROY MEJORAMIENTO ENSENANZA</v>
      </c>
      <c r="G316" s="0" t="s">
        <v>1829</v>
      </c>
      <c r="H316" s="0" t="s">
        <v>1828</v>
      </c>
    </row>
    <row r="317" customFormat="false" ht="14.65" hidden="false" customHeight="false" outlineLevel="0" collapsed="false">
      <c r="A317" s="43" t="s">
        <v>1175</v>
      </c>
      <c r="B317" s="44" t="s">
        <v>1135</v>
      </c>
      <c r="C317" s="45" t="s">
        <v>1830</v>
      </c>
      <c r="F317" s="0" t="str">
        <f aca="false">_xlfn.CONCAT(G317,H317)</f>
        <v>CSCE0023PRACTICA PROFESIONAL</v>
      </c>
      <c r="G317" s="0" t="s">
        <v>1831</v>
      </c>
      <c r="H317" s="0" t="s">
        <v>1830</v>
      </c>
    </row>
    <row r="318" customFormat="false" ht="14.65" hidden="false" customHeight="false" outlineLevel="0" collapsed="false">
      <c r="A318" s="43" t="s">
        <v>1175</v>
      </c>
      <c r="B318" s="44" t="s">
        <v>1168</v>
      </c>
      <c r="C318" s="45" t="s">
        <v>1832</v>
      </c>
      <c r="F318" s="0" t="str">
        <f aca="false">_xlfn.CONCAT(G318,H318)</f>
        <v>CSCE0024SEMINARIO DE PRACTICA DOCENTE</v>
      </c>
      <c r="G318" s="0" t="s">
        <v>1833</v>
      </c>
      <c r="H318" s="0" t="s">
        <v>1832</v>
      </c>
    </row>
    <row r="319" customFormat="false" ht="14.65" hidden="false" customHeight="false" outlineLevel="0" collapsed="false">
      <c r="A319" s="43" t="s">
        <v>1178</v>
      </c>
      <c r="B319" s="44" t="s">
        <v>1162</v>
      </c>
      <c r="C319" s="45" t="s">
        <v>1437</v>
      </c>
      <c r="F319" s="0" t="str">
        <f aca="false">_xlfn.CONCAT(G319,H319)</f>
        <v>AHCN0004ADMINISTRACION GENERAL</v>
      </c>
      <c r="G319" s="0" t="s">
        <v>1834</v>
      </c>
      <c r="H319" s="0" t="s">
        <v>1437</v>
      </c>
    </row>
    <row r="320" customFormat="false" ht="14.65" hidden="false" customHeight="false" outlineLevel="0" collapsed="false">
      <c r="A320" s="43" t="s">
        <v>1175</v>
      </c>
      <c r="B320" s="44" t="s">
        <v>1589</v>
      </c>
      <c r="C320" s="45" t="s">
        <v>1835</v>
      </c>
      <c r="F320" s="0" t="str">
        <f aca="false">_xlfn.CONCAT(G320,H320)</f>
        <v>CSCE0051PSICOLOGIA DE LA EDUCACION</v>
      </c>
      <c r="G320" s="0" t="s">
        <v>1836</v>
      </c>
      <c r="H320" s="0" t="s">
        <v>1835</v>
      </c>
    </row>
    <row r="321" customFormat="false" ht="14.65" hidden="false" customHeight="false" outlineLevel="0" collapsed="false">
      <c r="A321" s="43" t="s">
        <v>1364</v>
      </c>
      <c r="B321" s="44" t="s">
        <v>1650</v>
      </c>
      <c r="C321" s="45" t="s">
        <v>1837</v>
      </c>
      <c r="F321" s="0" t="str">
        <f aca="false">_xlfn.CONCAT(G321,H321)</f>
        <v>CNCX0050PRINCIPIOS CUANTITATIVOS</v>
      </c>
      <c r="G321" s="0" t="s">
        <v>1838</v>
      </c>
      <c r="H321" s="0" t="s">
        <v>1837</v>
      </c>
    </row>
    <row r="322" customFormat="false" ht="14.65" hidden="false" customHeight="false" outlineLevel="0" collapsed="false">
      <c r="A322" s="43" t="s">
        <v>1175</v>
      </c>
      <c r="B322" s="44" t="s">
        <v>1642</v>
      </c>
      <c r="C322" s="45" t="s">
        <v>1839</v>
      </c>
      <c r="F322" s="0" t="str">
        <f aca="false">_xlfn.CONCAT(G322,H322)</f>
        <v>CSCE0095FUNDAMENTOS DEL CURRICULUM</v>
      </c>
      <c r="G322" s="0" t="s">
        <v>1840</v>
      </c>
      <c r="H322" s="0" t="s">
        <v>1839</v>
      </c>
    </row>
    <row r="323" customFormat="false" ht="14.65" hidden="false" customHeight="false" outlineLevel="0" collapsed="false">
      <c r="A323" s="43" t="s">
        <v>1178</v>
      </c>
      <c r="B323" s="44" t="s">
        <v>1075</v>
      </c>
      <c r="C323" s="45" t="s">
        <v>1841</v>
      </c>
      <c r="F323" s="0" t="str">
        <f aca="false">_xlfn.CONCAT(G323,H323)</f>
        <v>AHCN0001CONTABILIDAD I</v>
      </c>
      <c r="G323" s="0" t="s">
        <v>1842</v>
      </c>
      <c r="H323" s="0" t="s">
        <v>1841</v>
      </c>
    </row>
    <row r="324" customFormat="false" ht="14.65" hidden="false" customHeight="false" outlineLevel="0" collapsed="false">
      <c r="A324" s="43" t="s">
        <v>1178</v>
      </c>
      <c r="B324" s="44" t="s">
        <v>1843</v>
      </c>
      <c r="C324" s="45" t="s">
        <v>1592</v>
      </c>
      <c r="F324" s="0" t="str">
        <f aca="false">_xlfn.CONCAT(G324,H324)</f>
        <v>AHCN0089CALCULO ADUANAL</v>
      </c>
      <c r="G324" s="0" t="s">
        <v>1844</v>
      </c>
      <c r="H324" s="0" t="s">
        <v>1592</v>
      </c>
    </row>
    <row r="325" customFormat="false" ht="14.65" hidden="false" customHeight="false" outlineLevel="0" collapsed="false">
      <c r="A325" s="43" t="s">
        <v>1175</v>
      </c>
      <c r="B325" s="44" t="s">
        <v>1459</v>
      </c>
      <c r="C325" s="45" t="s">
        <v>1845</v>
      </c>
      <c r="F325" s="0" t="str">
        <f aca="false">_xlfn.CONCAT(G325,H325)</f>
        <v>CSCE0091LEGISLACION EDUCAT Y REGIM JUR</v>
      </c>
      <c r="G325" s="0" t="s">
        <v>1846</v>
      </c>
      <c r="H325" s="0" t="s">
        <v>1845</v>
      </c>
    </row>
    <row r="326" customFormat="false" ht="14.65" hidden="false" customHeight="false" outlineLevel="0" collapsed="false">
      <c r="A326" s="43" t="s">
        <v>1175</v>
      </c>
      <c r="B326" s="44" t="s">
        <v>1847</v>
      </c>
      <c r="C326" s="45" t="s">
        <v>1848</v>
      </c>
      <c r="F326" s="0" t="str">
        <f aca="false">_xlfn.CONCAT(G326,H326)</f>
        <v>CSCE0100LEGISLACION TRIBUT Y MERCANT</v>
      </c>
      <c r="G326" s="0" t="s">
        <v>1849</v>
      </c>
      <c r="H326" s="0" t="s">
        <v>1848</v>
      </c>
    </row>
    <row r="327" customFormat="false" ht="14.65" hidden="false" customHeight="false" outlineLevel="0" collapsed="false">
      <c r="A327" s="43" t="s">
        <v>1175</v>
      </c>
      <c r="B327" s="44" t="s">
        <v>1526</v>
      </c>
      <c r="C327" s="45" t="s">
        <v>1850</v>
      </c>
      <c r="F327" s="0" t="str">
        <f aca="false">_xlfn.CONCAT(G327,H327)</f>
        <v>CSCE0116TALLER PEDAGOGICO</v>
      </c>
      <c r="G327" s="0" t="s">
        <v>1851</v>
      </c>
      <c r="H327" s="0" t="s">
        <v>1850</v>
      </c>
    </row>
    <row r="328" customFormat="false" ht="14.65" hidden="false" customHeight="false" outlineLevel="0" collapsed="false">
      <c r="A328" s="43" t="s">
        <v>1175</v>
      </c>
      <c r="B328" s="44" t="s">
        <v>1852</v>
      </c>
      <c r="C328" s="45" t="s">
        <v>1413</v>
      </c>
      <c r="F328" s="0" t="str">
        <f aca="false">_xlfn.CONCAT(G328,H328)</f>
        <v>CSCE0128LEGISLACION LABORAL</v>
      </c>
      <c r="G328" s="0" t="s">
        <v>1853</v>
      </c>
      <c r="H328" s="0" t="s">
        <v>1413</v>
      </c>
    </row>
    <row r="329" customFormat="false" ht="14.65" hidden="false" customHeight="false" outlineLevel="0" collapsed="false">
      <c r="A329" s="43" t="s">
        <v>1258</v>
      </c>
      <c r="B329" s="44" t="s">
        <v>1847</v>
      </c>
      <c r="C329" s="45" t="s">
        <v>1854</v>
      </c>
      <c r="F329" s="0" t="str">
        <f aca="false">_xlfn.CONCAT(G329,H329)</f>
        <v>CSID0100INGLES TECNICO</v>
      </c>
      <c r="G329" s="0" t="s">
        <v>1855</v>
      </c>
      <c r="H329" s="0" t="s">
        <v>1854</v>
      </c>
    </row>
    <row r="330" customFormat="false" ht="14.65" hidden="false" customHeight="false" outlineLevel="0" collapsed="false">
      <c r="A330" s="43" t="s">
        <v>1178</v>
      </c>
      <c r="B330" s="44" t="s">
        <v>1367</v>
      </c>
      <c r="C330" s="45" t="s">
        <v>1856</v>
      </c>
      <c r="F330" s="0" t="str">
        <f aca="false">_xlfn.CONCAT(G330,H330)</f>
        <v>AHCN0101AUDITORIA</v>
      </c>
      <c r="G330" s="0" t="s">
        <v>1857</v>
      </c>
      <c r="H330" s="0" t="s">
        <v>1856</v>
      </c>
    </row>
    <row r="331" customFormat="false" ht="14.65" hidden="false" customHeight="false" outlineLevel="0" collapsed="false">
      <c r="A331" s="43" t="s">
        <v>1175</v>
      </c>
      <c r="B331" s="44" t="s">
        <v>1603</v>
      </c>
      <c r="C331" s="45" t="s">
        <v>1858</v>
      </c>
      <c r="F331" s="0" t="str">
        <f aca="false">_xlfn.CONCAT(G331,H331)</f>
        <v>CSCE0049FUND DE LA EDUCACION MEDIA</v>
      </c>
      <c r="G331" s="0" t="s">
        <v>1859</v>
      </c>
      <c r="H331" s="0" t="s">
        <v>1858</v>
      </c>
    </row>
    <row r="332" customFormat="false" ht="14.65" hidden="false" customHeight="false" outlineLevel="0" collapsed="false">
      <c r="A332" s="43" t="s">
        <v>1074</v>
      </c>
      <c r="B332" s="44" t="s">
        <v>1622</v>
      </c>
      <c r="C332" s="45" t="s">
        <v>1860</v>
      </c>
      <c r="F332" s="0" t="str">
        <f aca="false">_xlfn.CONCAT(G332,H332)</f>
        <v>HSHM0035SALUD OCUPACIONAL</v>
      </c>
      <c r="G332" s="0" t="s">
        <v>1861</v>
      </c>
      <c r="H332" s="0" t="s">
        <v>1860</v>
      </c>
    </row>
    <row r="333" customFormat="false" ht="14.65" hidden="false" customHeight="false" outlineLevel="0" collapsed="false">
      <c r="A333" s="43" t="s">
        <v>1178</v>
      </c>
      <c r="B333" s="44" t="s">
        <v>1862</v>
      </c>
      <c r="C333" s="45" t="s">
        <v>1863</v>
      </c>
      <c r="F333" s="0" t="str">
        <f aca="false">_xlfn.CONCAT(G333,H333)</f>
        <v>AHCN0090SISTEMAS CONTABLES</v>
      </c>
      <c r="G333" s="0" t="s">
        <v>1864</v>
      </c>
      <c r="H333" s="0" t="s">
        <v>1863</v>
      </c>
    </row>
    <row r="334" customFormat="false" ht="14.65" hidden="false" customHeight="false" outlineLevel="0" collapsed="false">
      <c r="A334" s="43" t="s">
        <v>1175</v>
      </c>
      <c r="B334" s="44" t="s">
        <v>1865</v>
      </c>
      <c r="C334" s="45" t="s">
        <v>1866</v>
      </c>
      <c r="F334" s="0" t="str">
        <f aca="false">_xlfn.CONCAT(G334,H334)</f>
        <v>CSCE0077ETICA Y DERECHOS HUMANOS</v>
      </c>
      <c r="G334" s="0" t="s">
        <v>1867</v>
      </c>
      <c r="H334" s="0" t="s">
        <v>1866</v>
      </c>
    </row>
    <row r="335" customFormat="false" ht="14.65" hidden="false" customHeight="false" outlineLevel="0" collapsed="false">
      <c r="A335" s="43" t="s">
        <v>1370</v>
      </c>
      <c r="B335" s="44" t="s">
        <v>1510</v>
      </c>
      <c r="C335" s="45" t="s">
        <v>1868</v>
      </c>
      <c r="F335" s="0" t="str">
        <f aca="false">_xlfn.CONCAT(G335,H335)</f>
        <v>INTI0110APLIC COMPUTACION CONTABILIDAD</v>
      </c>
      <c r="G335" s="0" t="s">
        <v>1869</v>
      </c>
      <c r="H335" s="0" t="s">
        <v>1868</v>
      </c>
    </row>
    <row r="336" customFormat="false" ht="14.65" hidden="false" customHeight="false" outlineLevel="0" collapsed="false">
      <c r="A336" s="43" t="s">
        <v>1175</v>
      </c>
      <c r="B336" s="44" t="s">
        <v>1150</v>
      </c>
      <c r="C336" s="45" t="s">
        <v>1870</v>
      </c>
      <c r="F336" s="0" t="str">
        <f aca="false">_xlfn.CONCAT(G336,H336)</f>
        <v>CSCE0030PRACTICA DOCENTE</v>
      </c>
      <c r="G336" s="0" t="s">
        <v>1871</v>
      </c>
      <c r="H336" s="0" t="s">
        <v>1870</v>
      </c>
    </row>
    <row r="337" customFormat="false" ht="14.65" hidden="false" customHeight="false" outlineLevel="0" collapsed="false">
      <c r="A337" s="43" t="s">
        <v>1364</v>
      </c>
      <c r="B337" s="44" t="s">
        <v>1615</v>
      </c>
      <c r="C337" s="45" t="s">
        <v>1521</v>
      </c>
      <c r="F337" s="0" t="str">
        <f aca="false">_xlfn.CONCAT(G337,H337)</f>
        <v>CNCX0043LOGICA Y ALGORITMOS</v>
      </c>
      <c r="G337" s="0" t="s">
        <v>1872</v>
      </c>
      <c r="H337" s="0" t="s">
        <v>1521</v>
      </c>
    </row>
    <row r="338" customFormat="false" ht="14.65" hidden="false" customHeight="false" outlineLevel="0" collapsed="false">
      <c r="A338" s="43" t="s">
        <v>1370</v>
      </c>
      <c r="B338" s="44" t="s">
        <v>1259</v>
      </c>
      <c r="C338" s="45" t="s">
        <v>1873</v>
      </c>
      <c r="F338" s="0" t="str">
        <f aca="false">_xlfn.CONCAT(G338,H338)</f>
        <v>INTI0060INTRODUCCION A LA INFORMATICA</v>
      </c>
      <c r="G338" s="0" t="s">
        <v>1874</v>
      </c>
      <c r="H338" s="0" t="s">
        <v>1873</v>
      </c>
    </row>
    <row r="339" customFormat="false" ht="14.65" hidden="false" customHeight="false" outlineLevel="0" collapsed="false">
      <c r="A339" s="43" t="s">
        <v>1370</v>
      </c>
      <c r="B339" s="44" t="s">
        <v>1583</v>
      </c>
      <c r="C339" s="45" t="s">
        <v>1875</v>
      </c>
      <c r="F339" s="0" t="str">
        <f aca="false">_xlfn.CONCAT(G339,H339)</f>
        <v>INTI0113LENGUAJE LOGO</v>
      </c>
      <c r="G339" s="0" t="s">
        <v>1876</v>
      </c>
      <c r="H339" s="0" t="s">
        <v>1875</v>
      </c>
    </row>
    <row r="340" customFormat="false" ht="14.65" hidden="false" customHeight="false" outlineLevel="0" collapsed="false">
      <c r="A340" s="43" t="s">
        <v>1370</v>
      </c>
      <c r="B340" s="44" t="s">
        <v>1314</v>
      </c>
      <c r="C340" s="45" t="s">
        <v>1877</v>
      </c>
      <c r="F340" s="0" t="str">
        <f aca="false">_xlfn.CONCAT(G340,H340)</f>
        <v>INTI0104UTILIZACION DEL SOFTWARE</v>
      </c>
      <c r="G340" s="0" t="s">
        <v>1878</v>
      </c>
      <c r="H340" s="0" t="s">
        <v>1877</v>
      </c>
    </row>
    <row r="341" customFormat="false" ht="14.65" hidden="false" customHeight="false" outlineLevel="0" collapsed="false">
      <c r="A341" s="43" t="s">
        <v>1178</v>
      </c>
      <c r="B341" s="44" t="s">
        <v>1879</v>
      </c>
      <c r="C341" s="45" t="s">
        <v>1880</v>
      </c>
      <c r="F341" s="0" t="str">
        <f aca="false">_xlfn.CONCAT(G341,H341)</f>
        <v>AHCN0088GESTION EMPRESARIAL</v>
      </c>
      <c r="G341" s="0" t="s">
        <v>1881</v>
      </c>
      <c r="H341" s="0" t="s">
        <v>1880</v>
      </c>
    </row>
    <row r="342" customFormat="false" ht="14.65" hidden="false" customHeight="false" outlineLevel="0" collapsed="false">
      <c r="A342" s="43" t="s">
        <v>1370</v>
      </c>
      <c r="B342" s="44" t="s">
        <v>1594</v>
      </c>
      <c r="C342" s="45" t="s">
        <v>1882</v>
      </c>
      <c r="F342" s="0" t="str">
        <f aca="false">_xlfn.CONCAT(G342,H342)</f>
        <v>INTI0052PROGRAMACION I</v>
      </c>
      <c r="G342" s="0" t="s">
        <v>1883</v>
      </c>
      <c r="H342" s="0" t="s">
        <v>1882</v>
      </c>
    </row>
    <row r="343" customFormat="false" ht="14.65" hidden="false" customHeight="false" outlineLevel="0" collapsed="false">
      <c r="A343" s="43" t="s">
        <v>1370</v>
      </c>
      <c r="B343" s="44" t="s">
        <v>1321</v>
      </c>
      <c r="C343" s="45" t="s">
        <v>1884</v>
      </c>
      <c r="F343" s="0" t="str">
        <f aca="false">_xlfn.CONCAT(G343,H343)</f>
        <v>INTI0105PAQUETES COMPUTACIONALES I</v>
      </c>
      <c r="G343" s="0" t="s">
        <v>1885</v>
      </c>
      <c r="H343" s="0" t="s">
        <v>1884</v>
      </c>
    </row>
    <row r="344" customFormat="false" ht="14.65" hidden="false" customHeight="false" outlineLevel="0" collapsed="false">
      <c r="A344" s="43" t="s">
        <v>1370</v>
      </c>
      <c r="B344" s="44" t="s">
        <v>1470</v>
      </c>
      <c r="C344" s="45" t="s">
        <v>1886</v>
      </c>
      <c r="F344" s="0" t="str">
        <f aca="false">_xlfn.CONCAT(G344,H344)</f>
        <v>INTI0053PROGRAMACION II</v>
      </c>
      <c r="G344" s="0" t="s">
        <v>1887</v>
      </c>
      <c r="H344" s="0" t="s">
        <v>1886</v>
      </c>
    </row>
    <row r="345" customFormat="false" ht="14.65" hidden="false" customHeight="false" outlineLevel="0" collapsed="false">
      <c r="A345" s="43" t="s">
        <v>1370</v>
      </c>
      <c r="B345" s="44" t="s">
        <v>1326</v>
      </c>
      <c r="C345" s="45" t="s">
        <v>1888</v>
      </c>
      <c r="F345" s="0" t="str">
        <f aca="false">_xlfn.CONCAT(G345,H345)</f>
        <v>INTI0106PAQUETES COMPUTACIONALES II</v>
      </c>
      <c r="G345" s="0" t="s">
        <v>1889</v>
      </c>
      <c r="H345" s="0" t="s">
        <v>1888</v>
      </c>
    </row>
    <row r="346" customFormat="false" ht="14.65" hidden="false" customHeight="false" outlineLevel="0" collapsed="false">
      <c r="A346" s="43" t="s">
        <v>1175</v>
      </c>
      <c r="B346" s="44" t="s">
        <v>1890</v>
      </c>
      <c r="C346" s="45" t="s">
        <v>1891</v>
      </c>
      <c r="F346" s="0" t="str">
        <f aca="false">_xlfn.CONCAT(G346,H346)</f>
        <v>CSCE0082DIDACTICA DE LA INFORMATICA</v>
      </c>
      <c r="G346" s="0" t="s">
        <v>1892</v>
      </c>
      <c r="H346" s="0" t="s">
        <v>1891</v>
      </c>
    </row>
    <row r="347" customFormat="false" ht="14.65" hidden="false" customHeight="false" outlineLevel="0" collapsed="false">
      <c r="A347" s="43" t="s">
        <v>1370</v>
      </c>
      <c r="B347" s="44" t="s">
        <v>1606</v>
      </c>
      <c r="C347" s="45" t="s">
        <v>1893</v>
      </c>
      <c r="F347" s="0" t="str">
        <f aca="false">_xlfn.CONCAT(G347,H347)</f>
        <v>INTI0054PROGRAMACION III</v>
      </c>
      <c r="G347" s="0" t="s">
        <v>1894</v>
      </c>
      <c r="H347" s="0" t="s">
        <v>1893</v>
      </c>
    </row>
    <row r="348" customFormat="false" ht="14.65" hidden="false" customHeight="false" outlineLevel="0" collapsed="false">
      <c r="A348" s="43" t="s">
        <v>1370</v>
      </c>
      <c r="B348" s="44" t="s">
        <v>1515</v>
      </c>
      <c r="C348" s="45" t="s">
        <v>1895</v>
      </c>
      <c r="F348" s="0" t="str">
        <f aca="false">_xlfn.CONCAT(G348,H348)</f>
        <v>INTI0117ANALISIS DE SISTEMAS</v>
      </c>
      <c r="G348" s="0" t="s">
        <v>1896</v>
      </c>
      <c r="H348" s="0" t="s">
        <v>1895</v>
      </c>
    </row>
    <row r="349" customFormat="false" ht="14.65" hidden="false" customHeight="false" outlineLevel="0" collapsed="false">
      <c r="A349" s="43" t="s">
        <v>1370</v>
      </c>
      <c r="B349" s="44" t="s">
        <v>1526</v>
      </c>
      <c r="C349" s="45" t="s">
        <v>1897</v>
      </c>
      <c r="F349" s="0" t="str">
        <f aca="false">_xlfn.CONCAT(G349,H349)</f>
        <v>INTI0116TEORIA DE SISTEMAS</v>
      </c>
      <c r="G349" s="0" t="s">
        <v>1898</v>
      </c>
      <c r="H349" s="0" t="s">
        <v>1897</v>
      </c>
    </row>
    <row r="350" customFormat="false" ht="14.65" hidden="false" customHeight="false" outlineLevel="0" collapsed="false">
      <c r="A350" s="43" t="s">
        <v>1175</v>
      </c>
      <c r="B350" s="44" t="s">
        <v>1462</v>
      </c>
      <c r="C350" s="45" t="s">
        <v>1899</v>
      </c>
      <c r="F350" s="0" t="str">
        <f aca="false">_xlfn.CONCAT(G350,H350)</f>
        <v>CSCE0062MET Y TEC DE INVESTIGACION</v>
      </c>
      <c r="G350" s="0" t="s">
        <v>1900</v>
      </c>
      <c r="H350" s="0" t="s">
        <v>1899</v>
      </c>
    </row>
    <row r="351" customFormat="false" ht="14.65" hidden="false" customHeight="false" outlineLevel="0" collapsed="false">
      <c r="A351" s="43" t="s">
        <v>1370</v>
      </c>
      <c r="B351" s="44" t="s">
        <v>1529</v>
      </c>
      <c r="C351" s="45" t="s">
        <v>1901</v>
      </c>
      <c r="F351" s="0" t="str">
        <f aca="false">_xlfn.CONCAT(G351,H351)</f>
        <v>INTI0112APLIC COMPUTACION EN LA ENSENA</v>
      </c>
      <c r="G351" s="0" t="s">
        <v>1902</v>
      </c>
      <c r="H351" s="0" t="s">
        <v>1901</v>
      </c>
    </row>
    <row r="352" customFormat="false" ht="14.65" hidden="false" customHeight="false" outlineLevel="0" collapsed="false">
      <c r="A352" s="43" t="s">
        <v>1370</v>
      </c>
      <c r="B352" s="44" t="s">
        <v>1541</v>
      </c>
      <c r="C352" s="45" t="s">
        <v>1903</v>
      </c>
      <c r="F352" s="0" t="str">
        <f aca="false">_xlfn.CONCAT(G352,H352)</f>
        <v>INTI0114MANTENIMIENTO DE COMPUTADORAS</v>
      </c>
      <c r="G352" s="0" t="s">
        <v>1904</v>
      </c>
      <c r="H352" s="0" t="s">
        <v>1903</v>
      </c>
    </row>
    <row r="353" customFormat="false" ht="14.65" hidden="false" customHeight="false" outlineLevel="0" collapsed="false">
      <c r="A353" s="43" t="s">
        <v>1370</v>
      </c>
      <c r="B353" s="44" t="s">
        <v>1129</v>
      </c>
      <c r="C353" s="45" t="s">
        <v>1905</v>
      </c>
      <c r="F353" s="0" t="str">
        <f aca="false">_xlfn.CONCAT(G353,H353)</f>
        <v>INTI0021TELEPROCESO DE REDES</v>
      </c>
      <c r="G353" s="0" t="s">
        <v>1906</v>
      </c>
      <c r="H353" s="0" t="s">
        <v>1905</v>
      </c>
    </row>
    <row r="354" customFormat="false" ht="14.65" hidden="false" customHeight="false" outlineLevel="0" collapsed="false">
      <c r="A354" s="43" t="s">
        <v>1175</v>
      </c>
      <c r="B354" s="44" t="s">
        <v>1321</v>
      </c>
      <c r="C354" s="45" t="s">
        <v>1907</v>
      </c>
      <c r="F354" s="0" t="str">
        <f aca="false">_xlfn.CONCAT(G354,H354)</f>
        <v>CSCE0105PRACTICA DIRIGIDA</v>
      </c>
      <c r="G354" s="0" t="s">
        <v>1908</v>
      </c>
      <c r="H354" s="0" t="s">
        <v>1907</v>
      </c>
    </row>
    <row r="355" customFormat="false" ht="14.65" hidden="false" customHeight="false" outlineLevel="0" collapsed="false">
      <c r="A355" s="43" t="s">
        <v>1364</v>
      </c>
      <c r="B355" s="44" t="s">
        <v>1589</v>
      </c>
      <c r="C355" s="45" t="s">
        <v>1909</v>
      </c>
      <c r="F355" s="0" t="str">
        <f aca="false">_xlfn.CONCAT(G355,H355)</f>
        <v>CNCX0051PRINCIPIOS CUANTITATIVOS I</v>
      </c>
      <c r="G355" s="0" t="s">
        <v>1910</v>
      </c>
      <c r="H355" s="0" t="s">
        <v>1909</v>
      </c>
    </row>
    <row r="356" customFormat="false" ht="14.65" hidden="false" customHeight="false" outlineLevel="0" collapsed="false">
      <c r="A356" s="43" t="s">
        <v>1364</v>
      </c>
      <c r="B356" s="44" t="s">
        <v>1594</v>
      </c>
      <c r="C356" s="45" t="s">
        <v>1911</v>
      </c>
      <c r="F356" s="0" t="str">
        <f aca="false">_xlfn.CONCAT(G356,H356)</f>
        <v>CNCX0052PRINCIPIOS CUANTITATIVOS II</v>
      </c>
      <c r="G356" s="0" t="s">
        <v>1912</v>
      </c>
      <c r="H356" s="0" t="s">
        <v>1911</v>
      </c>
    </row>
    <row r="357" customFormat="false" ht="14.65" hidden="false" customHeight="false" outlineLevel="0" collapsed="false">
      <c r="A357" s="43" t="s">
        <v>1364</v>
      </c>
      <c r="B357" s="44" t="s">
        <v>1606</v>
      </c>
      <c r="C357" s="45" t="s">
        <v>1913</v>
      </c>
      <c r="F357" s="0" t="str">
        <f aca="false">_xlfn.CONCAT(G357,H357)</f>
        <v>CNCX0054PRINCIPIOS DE FISICA</v>
      </c>
      <c r="G357" s="0" t="s">
        <v>1914</v>
      </c>
      <c r="H357" s="0" t="s">
        <v>1913</v>
      </c>
    </row>
    <row r="358" customFormat="false" ht="14.65" hidden="false" customHeight="false" outlineLevel="0" collapsed="false">
      <c r="A358" s="43" t="s">
        <v>1364</v>
      </c>
      <c r="B358" s="44" t="s">
        <v>1630</v>
      </c>
      <c r="C358" s="45" t="s">
        <v>1915</v>
      </c>
      <c r="F358" s="0" t="str">
        <f aca="false">_xlfn.CONCAT(G358,H358)</f>
        <v>CNCX0045HISTORIA DE LAS MATEMATICAS</v>
      </c>
      <c r="G358" s="0" t="s">
        <v>1916</v>
      </c>
      <c r="H358" s="0" t="s">
        <v>1915</v>
      </c>
    </row>
    <row r="359" customFormat="false" ht="14.65" hidden="false" customHeight="false" outlineLevel="0" collapsed="false">
      <c r="A359" s="43" t="s">
        <v>1364</v>
      </c>
      <c r="B359" s="44" t="s">
        <v>1634</v>
      </c>
      <c r="C359" s="45" t="s">
        <v>1917</v>
      </c>
      <c r="F359" s="0" t="str">
        <f aca="false">_xlfn.CONCAT(G359,H359)</f>
        <v>CNCX0046PRINCIPIOS CUANTITATIVOS III</v>
      </c>
      <c r="G359" s="0" t="s">
        <v>1918</v>
      </c>
      <c r="H359" s="0" t="s">
        <v>1917</v>
      </c>
    </row>
    <row r="360" customFormat="false" ht="14.65" hidden="false" customHeight="false" outlineLevel="0" collapsed="false">
      <c r="A360" s="43" t="s">
        <v>1175</v>
      </c>
      <c r="B360" s="44" t="s">
        <v>1339</v>
      </c>
      <c r="C360" s="45" t="s">
        <v>1919</v>
      </c>
      <c r="F360" s="0" t="str">
        <f aca="false">_xlfn.CONCAT(G360,H360)</f>
        <v>CSCE0093MEDICION Y EVALUACION EDUCAT</v>
      </c>
      <c r="G360" s="0" t="s">
        <v>1920</v>
      </c>
      <c r="H360" s="0" t="s">
        <v>1919</v>
      </c>
    </row>
    <row r="361" customFormat="false" ht="14.65" hidden="false" customHeight="false" outlineLevel="0" collapsed="false">
      <c r="A361" s="43" t="s">
        <v>1364</v>
      </c>
      <c r="B361" s="44" t="s">
        <v>1114</v>
      </c>
      <c r="C361" s="45" t="s">
        <v>1921</v>
      </c>
      <c r="F361" s="0" t="str">
        <f aca="false">_xlfn.CONCAT(G361,H361)</f>
        <v>CNCX0015CALCULO DIFERENCIAL</v>
      </c>
      <c r="G361" s="0" t="s">
        <v>1922</v>
      </c>
      <c r="H361" s="0" t="s">
        <v>1921</v>
      </c>
    </row>
    <row r="362" customFormat="false" ht="14.65" hidden="false" customHeight="false" outlineLevel="0" collapsed="false">
      <c r="A362" s="43" t="s">
        <v>1364</v>
      </c>
      <c r="B362" s="44" t="s">
        <v>1123</v>
      </c>
      <c r="C362" s="45" t="s">
        <v>1923</v>
      </c>
      <c r="F362" s="0" t="str">
        <f aca="false">_xlfn.CONCAT(G362,H362)</f>
        <v>CNCX0018ESTADISTICA Y PROBABILIDADES</v>
      </c>
      <c r="G362" s="0" t="s">
        <v>1924</v>
      </c>
      <c r="H362" s="0" t="s">
        <v>1923</v>
      </c>
    </row>
    <row r="363" customFormat="false" ht="14.65" hidden="false" customHeight="false" outlineLevel="0" collapsed="false">
      <c r="A363" s="43" t="s">
        <v>1364</v>
      </c>
      <c r="B363" s="44" t="s">
        <v>1105</v>
      </c>
      <c r="C363" s="45" t="s">
        <v>1925</v>
      </c>
      <c r="F363" s="0" t="str">
        <f aca="false">_xlfn.CONCAT(G363,H363)</f>
        <v>CNCX0012ALGEBRA</v>
      </c>
      <c r="G363" s="0" t="s">
        <v>1926</v>
      </c>
      <c r="H363" s="0" t="s">
        <v>1925</v>
      </c>
    </row>
    <row r="364" customFormat="false" ht="14.65" hidden="false" customHeight="false" outlineLevel="0" collapsed="false">
      <c r="A364" s="43" t="s">
        <v>1364</v>
      </c>
      <c r="B364" s="44" t="s">
        <v>1102</v>
      </c>
      <c r="C364" s="45" t="s">
        <v>1927</v>
      </c>
      <c r="F364" s="0" t="str">
        <f aca="false">_xlfn.CONCAT(G364,H364)</f>
        <v>CNCX0011ALGEBRA LINEAL</v>
      </c>
      <c r="G364" s="0" t="s">
        <v>1928</v>
      </c>
      <c r="H364" s="0" t="s">
        <v>1927</v>
      </c>
    </row>
    <row r="365" customFormat="false" ht="14.65" hidden="false" customHeight="false" outlineLevel="0" collapsed="false">
      <c r="A365" s="43" t="s">
        <v>1364</v>
      </c>
      <c r="B365" s="44" t="s">
        <v>1929</v>
      </c>
      <c r="C365" s="45" t="s">
        <v>1930</v>
      </c>
      <c r="F365" s="0" t="str">
        <f aca="false">_xlfn.CONCAT(G365,H365)</f>
        <v>CNCX0040GEOMETRIA I</v>
      </c>
      <c r="G365" s="0" t="s">
        <v>1931</v>
      </c>
      <c r="H365" s="0" t="s">
        <v>1930</v>
      </c>
    </row>
    <row r="366" customFormat="false" ht="14.65" hidden="false" customHeight="false" outlineLevel="0" collapsed="false">
      <c r="A366" s="43" t="s">
        <v>1364</v>
      </c>
      <c r="B366" s="44" t="s">
        <v>1117</v>
      </c>
      <c r="C366" s="45" t="s">
        <v>1932</v>
      </c>
      <c r="F366" s="0" t="str">
        <f aca="false">_xlfn.CONCAT(G366,H366)</f>
        <v>CNCX0016CALCULO INTEGRAL</v>
      </c>
      <c r="G366" s="0" t="s">
        <v>1933</v>
      </c>
      <c r="H366" s="0" t="s">
        <v>1932</v>
      </c>
    </row>
    <row r="367" customFormat="false" ht="14.65" hidden="false" customHeight="false" outlineLevel="0" collapsed="false">
      <c r="A367" s="43" t="s">
        <v>1364</v>
      </c>
      <c r="B367" s="44" t="s">
        <v>1473</v>
      </c>
      <c r="C367" s="45" t="s">
        <v>1934</v>
      </c>
      <c r="F367" s="0" t="str">
        <f aca="false">_xlfn.CONCAT(G367,H367)</f>
        <v>CNCX0041GEOMETRIA II</v>
      </c>
      <c r="G367" s="0" t="s">
        <v>1935</v>
      </c>
      <c r="H367" s="0" t="s">
        <v>1934</v>
      </c>
    </row>
    <row r="368" customFormat="false" ht="14.65" hidden="false" customHeight="false" outlineLevel="0" collapsed="false">
      <c r="A368" s="43" t="s">
        <v>1364</v>
      </c>
      <c r="B368" s="44" t="s">
        <v>1470</v>
      </c>
      <c r="C368" s="45" t="s">
        <v>1936</v>
      </c>
      <c r="F368" s="0" t="str">
        <f aca="false">_xlfn.CONCAT(G368,H368)</f>
        <v>CNCX0053PRINCIPIOS CUANTITATIVOS IV</v>
      </c>
      <c r="G368" s="0" t="s">
        <v>1937</v>
      </c>
      <c r="H368" s="0" t="s">
        <v>1936</v>
      </c>
    </row>
    <row r="369" customFormat="false" ht="14.65" hidden="false" customHeight="false" outlineLevel="0" collapsed="false">
      <c r="A369" s="43" t="s">
        <v>1364</v>
      </c>
      <c r="B369" s="44" t="s">
        <v>1096</v>
      </c>
      <c r="C369" s="45" t="s">
        <v>1938</v>
      </c>
      <c r="F369" s="0" t="str">
        <f aca="false">_xlfn.CONCAT(G369,H369)</f>
        <v>CNCX0009ECUACIONES DIFERENCIALES</v>
      </c>
      <c r="G369" s="0" t="s">
        <v>1939</v>
      </c>
      <c r="H369" s="0" t="s">
        <v>1938</v>
      </c>
    </row>
    <row r="370" customFormat="false" ht="14.65" hidden="false" customHeight="false" outlineLevel="0" collapsed="false">
      <c r="A370" s="43" t="s">
        <v>1175</v>
      </c>
      <c r="B370" s="44" t="s">
        <v>1940</v>
      </c>
      <c r="C370" s="45" t="s">
        <v>1941</v>
      </c>
      <c r="F370" s="0" t="str">
        <f aca="false">_xlfn.CONCAT(G370,H370)</f>
        <v>CSCE0084DIDACTICA DE LAS MATEMATICAS</v>
      </c>
      <c r="G370" s="0" t="s">
        <v>1942</v>
      </c>
      <c r="H370" s="0" t="s">
        <v>1941</v>
      </c>
    </row>
    <row r="371" customFormat="false" ht="14.65" hidden="false" customHeight="false" outlineLevel="0" collapsed="false">
      <c r="A371" s="43" t="s">
        <v>1364</v>
      </c>
      <c r="B371" s="44" t="s">
        <v>1639</v>
      </c>
      <c r="C371" s="45" t="s">
        <v>1943</v>
      </c>
      <c r="F371" s="0" t="str">
        <f aca="false">_xlfn.CONCAT(G371,H371)</f>
        <v>CNCX0044ANALISIS</v>
      </c>
      <c r="G371" s="0" t="s">
        <v>1944</v>
      </c>
      <c r="H371" s="0" t="s">
        <v>1943</v>
      </c>
    </row>
    <row r="372" customFormat="false" ht="14.65" hidden="false" customHeight="false" outlineLevel="0" collapsed="false">
      <c r="A372" s="43" t="s">
        <v>1364</v>
      </c>
      <c r="B372" s="44" t="s">
        <v>1488</v>
      </c>
      <c r="C372" s="45" t="s">
        <v>1945</v>
      </c>
      <c r="F372" s="0" t="str">
        <f aca="false">_xlfn.CONCAT(G372,H372)</f>
        <v>CNCX0039FUNDAMENTOS DE BIOMATEMATICA</v>
      </c>
      <c r="G372" s="0" t="s">
        <v>1946</v>
      </c>
      <c r="H372" s="0" t="s">
        <v>1945</v>
      </c>
    </row>
    <row r="373" customFormat="false" ht="14.65" hidden="false" customHeight="false" outlineLevel="0" collapsed="false">
      <c r="A373" s="43" t="s">
        <v>1370</v>
      </c>
      <c r="B373" s="44" t="s">
        <v>1507</v>
      </c>
      <c r="C373" s="45" t="s">
        <v>1947</v>
      </c>
      <c r="F373" s="0" t="str">
        <f aca="false">_xlfn.CONCAT(G373,H373)</f>
        <v>INTI0108APLIC COMPUTACION  MATEMATICA</v>
      </c>
      <c r="G373" s="0" t="s">
        <v>1948</v>
      </c>
      <c r="H373" s="0" t="s">
        <v>1947</v>
      </c>
    </row>
    <row r="374" customFormat="false" ht="14.65" hidden="false" customHeight="false" outlineLevel="0" collapsed="false">
      <c r="A374" s="43" t="s">
        <v>1364</v>
      </c>
      <c r="B374" s="44" t="s">
        <v>1482</v>
      </c>
      <c r="C374" s="45" t="s">
        <v>1949</v>
      </c>
      <c r="F374" s="0" t="str">
        <f aca="false">_xlfn.CONCAT(G374,H374)</f>
        <v>CNCX0036FISICA I</v>
      </c>
      <c r="G374" s="0" t="s">
        <v>1950</v>
      </c>
      <c r="H374" s="0" t="s">
        <v>1949</v>
      </c>
    </row>
    <row r="375" customFormat="false" ht="14.65" hidden="false" customHeight="false" outlineLevel="0" collapsed="false">
      <c r="A375" s="43" t="s">
        <v>1364</v>
      </c>
      <c r="B375" s="44" t="s">
        <v>1496</v>
      </c>
      <c r="C375" s="45" t="s">
        <v>1951</v>
      </c>
      <c r="F375" s="0" t="str">
        <f aca="false">_xlfn.CONCAT(G375,H375)</f>
        <v>CNCX0055QUIMICA I</v>
      </c>
      <c r="G375" s="0" t="s">
        <v>1952</v>
      </c>
      <c r="H375" s="0" t="s">
        <v>1951</v>
      </c>
    </row>
    <row r="376" customFormat="false" ht="14.65" hidden="false" customHeight="false" outlineLevel="0" collapsed="false">
      <c r="A376" s="43" t="s">
        <v>1175</v>
      </c>
      <c r="B376" s="44" t="s">
        <v>1953</v>
      </c>
      <c r="C376" s="45" t="s">
        <v>1954</v>
      </c>
      <c r="F376" s="0" t="str">
        <f aca="false">_xlfn.CONCAT(G376,H376)</f>
        <v>CSCE0079GEOGRAFIA FISICA</v>
      </c>
      <c r="G376" s="0" t="s">
        <v>1955</v>
      </c>
      <c r="H376" s="0" t="s">
        <v>1954</v>
      </c>
    </row>
    <row r="377" customFormat="false" ht="14.65" hidden="false" customHeight="false" outlineLevel="0" collapsed="false">
      <c r="A377" s="43" t="s">
        <v>1364</v>
      </c>
      <c r="B377" s="44" t="s">
        <v>1653</v>
      </c>
      <c r="C377" s="45" t="s">
        <v>1956</v>
      </c>
      <c r="F377" s="0" t="str">
        <f aca="false">_xlfn.CONCAT(G377,H377)</f>
        <v>CNCX0065BIOLOGIA I</v>
      </c>
      <c r="G377" s="0" t="s">
        <v>1957</v>
      </c>
      <c r="H377" s="0" t="s">
        <v>1956</v>
      </c>
    </row>
    <row r="378" customFormat="false" ht="14.65" hidden="false" customHeight="false" outlineLevel="0" collapsed="false">
      <c r="A378" s="43" t="s">
        <v>1364</v>
      </c>
      <c r="B378" s="44" t="s">
        <v>1449</v>
      </c>
      <c r="C378" s="45" t="s">
        <v>1958</v>
      </c>
      <c r="F378" s="0" t="str">
        <f aca="false">_xlfn.CONCAT(G378,H378)</f>
        <v>CNCX0037FISICA II</v>
      </c>
      <c r="G378" s="0" t="s">
        <v>1959</v>
      </c>
      <c r="H378" s="0" t="s">
        <v>1958</v>
      </c>
    </row>
    <row r="379" customFormat="false" ht="14.65" hidden="false" customHeight="false" outlineLevel="0" collapsed="false">
      <c r="A379" s="43" t="s">
        <v>1364</v>
      </c>
      <c r="B379" s="44" t="s">
        <v>1388</v>
      </c>
      <c r="C379" s="45" t="s">
        <v>1960</v>
      </c>
      <c r="F379" s="0" t="str">
        <f aca="false">_xlfn.CONCAT(G379,H379)</f>
        <v>CNCX0066BIOLOGIA II</v>
      </c>
      <c r="G379" s="0" t="s">
        <v>1961</v>
      </c>
      <c r="H379" s="0" t="s">
        <v>1960</v>
      </c>
    </row>
    <row r="380" customFormat="false" ht="14.65" hidden="false" customHeight="false" outlineLevel="0" collapsed="false">
      <c r="A380" s="43" t="s">
        <v>1364</v>
      </c>
      <c r="B380" s="44" t="s">
        <v>1531</v>
      </c>
      <c r="C380" s="45" t="s">
        <v>1962</v>
      </c>
      <c r="F380" s="0" t="str">
        <f aca="false">_xlfn.CONCAT(G380,H380)</f>
        <v>CNCX0047QUIMICA II</v>
      </c>
      <c r="G380" s="0" t="s">
        <v>1963</v>
      </c>
      <c r="H380" s="0" t="s">
        <v>1962</v>
      </c>
    </row>
    <row r="381" customFormat="false" ht="14.65" hidden="false" customHeight="false" outlineLevel="0" collapsed="false">
      <c r="A381" s="43" t="s">
        <v>1175</v>
      </c>
      <c r="B381" s="44" t="s">
        <v>1964</v>
      </c>
      <c r="C381" s="45" t="s">
        <v>1965</v>
      </c>
      <c r="F381" s="0" t="str">
        <f aca="false">_xlfn.CONCAT(G381,H381)</f>
        <v>CSCE0083DIDACTICA DE LAS CIENCIAS I</v>
      </c>
      <c r="G381" s="0" t="s">
        <v>1966</v>
      </c>
      <c r="H381" s="0" t="s">
        <v>1965</v>
      </c>
    </row>
    <row r="382" customFormat="false" ht="14.65" hidden="false" customHeight="false" outlineLevel="0" collapsed="false">
      <c r="A382" s="43" t="s">
        <v>1175</v>
      </c>
      <c r="B382" s="44" t="s">
        <v>1967</v>
      </c>
      <c r="C382" s="45" t="s">
        <v>1968</v>
      </c>
      <c r="F382" s="0" t="str">
        <f aca="false">_xlfn.CONCAT(G382,H382)</f>
        <v>CSCE0081COSMOGRAFIA</v>
      </c>
      <c r="G382" s="0" t="s">
        <v>1969</v>
      </c>
      <c r="H382" s="0" t="s">
        <v>1968</v>
      </c>
    </row>
    <row r="383" customFormat="false" ht="14.65" hidden="false" customHeight="false" outlineLevel="0" collapsed="false">
      <c r="A383" s="43" t="s">
        <v>1364</v>
      </c>
      <c r="B383" s="44" t="s">
        <v>1476</v>
      </c>
      <c r="C383" s="45" t="s">
        <v>1970</v>
      </c>
      <c r="F383" s="0" t="str">
        <f aca="false">_xlfn.CONCAT(G383,H383)</f>
        <v>CNCX0067FISICA III</v>
      </c>
      <c r="G383" s="0" t="s">
        <v>1971</v>
      </c>
      <c r="H383" s="0" t="s">
        <v>1970</v>
      </c>
    </row>
    <row r="384" customFormat="false" ht="14.65" hidden="false" customHeight="false" outlineLevel="0" collapsed="false">
      <c r="A384" s="43" t="s">
        <v>1364</v>
      </c>
      <c r="B384" s="44" t="s">
        <v>1600</v>
      </c>
      <c r="C384" s="45" t="s">
        <v>1972</v>
      </c>
      <c r="F384" s="0" t="str">
        <f aca="false">_xlfn.CONCAT(G384,H384)</f>
        <v>CNCX0048QUIMICA III</v>
      </c>
      <c r="G384" s="0" t="s">
        <v>1973</v>
      </c>
      <c r="H384" s="0" t="s">
        <v>1972</v>
      </c>
    </row>
    <row r="385" customFormat="false" ht="14.65" hidden="false" customHeight="false" outlineLevel="0" collapsed="false">
      <c r="A385" s="43" t="s">
        <v>1175</v>
      </c>
      <c r="B385" s="44" t="s">
        <v>1554</v>
      </c>
      <c r="C385" s="45" t="s">
        <v>1974</v>
      </c>
      <c r="F385" s="0" t="str">
        <f aca="false">_xlfn.CONCAT(G385,H385)</f>
        <v>CSCE0119DIDACTICA DE LAS CIENCIAS II</v>
      </c>
      <c r="G385" s="0" t="s">
        <v>1975</v>
      </c>
      <c r="H385" s="0" t="s">
        <v>1974</v>
      </c>
    </row>
    <row r="386" customFormat="false" ht="14.65" hidden="false" customHeight="false" outlineLevel="0" collapsed="false">
      <c r="A386" s="43" t="s">
        <v>1175</v>
      </c>
      <c r="B386" s="44" t="s">
        <v>1976</v>
      </c>
      <c r="C386" s="45" t="s">
        <v>1977</v>
      </c>
      <c r="F386" s="0" t="str">
        <f aca="false">_xlfn.CONCAT(G386,H386)</f>
        <v>CSCE0086ECOLOG E HIST NATUR COSTA RICA</v>
      </c>
      <c r="G386" s="0" t="s">
        <v>1978</v>
      </c>
      <c r="H386" s="0" t="s">
        <v>1977</v>
      </c>
    </row>
    <row r="387" customFormat="false" ht="14.65" hidden="false" customHeight="false" outlineLevel="0" collapsed="false">
      <c r="A387" s="43" t="s">
        <v>1364</v>
      </c>
      <c r="B387" s="44" t="s">
        <v>1603</v>
      </c>
      <c r="C387" s="45" t="s">
        <v>1979</v>
      </c>
      <c r="F387" s="0" t="str">
        <f aca="false">_xlfn.CONCAT(G387,H387)</f>
        <v>CNCX0049QUIMICA ORGANICA</v>
      </c>
      <c r="G387" s="0" t="s">
        <v>1980</v>
      </c>
      <c r="H387" s="0" t="s">
        <v>1979</v>
      </c>
    </row>
    <row r="388" customFormat="false" ht="14.65" hidden="false" customHeight="false" outlineLevel="0" collapsed="false">
      <c r="A388" s="43" t="s">
        <v>1175</v>
      </c>
      <c r="B388" s="44" t="s">
        <v>1597</v>
      </c>
      <c r="C388" s="45" t="s">
        <v>1981</v>
      </c>
      <c r="F388" s="0" t="str">
        <f aca="false">_xlfn.CONCAT(G388,H388)</f>
        <v>CSCE0087EDUCACION PARA LA SALUD</v>
      </c>
      <c r="G388" s="0" t="s">
        <v>1982</v>
      </c>
      <c r="H388" s="0" t="s">
        <v>1981</v>
      </c>
    </row>
    <row r="389" customFormat="false" ht="14.65" hidden="false" customHeight="false" outlineLevel="0" collapsed="false">
      <c r="A389" s="43" t="s">
        <v>1364</v>
      </c>
      <c r="B389" s="44" t="s">
        <v>1622</v>
      </c>
      <c r="C389" s="45" t="s">
        <v>1983</v>
      </c>
      <c r="F389" s="0" t="str">
        <f aca="false">_xlfn.CONCAT(G389,H389)</f>
        <v>CNCX0035BIOTECNOLOGIA</v>
      </c>
      <c r="G389" s="0" t="s">
        <v>1984</v>
      </c>
      <c r="H389" s="0" t="s">
        <v>1983</v>
      </c>
    </row>
    <row r="390" customFormat="false" ht="14.65" hidden="false" customHeight="false" outlineLevel="0" collapsed="false">
      <c r="A390" s="43" t="s">
        <v>1370</v>
      </c>
      <c r="B390" s="44" t="s">
        <v>1548</v>
      </c>
      <c r="C390" s="45" t="s">
        <v>1985</v>
      </c>
      <c r="F390" s="0" t="str">
        <f aca="false">_xlfn.CONCAT(G390,H390)</f>
        <v>INTI0109APLIC COMPUTACIONALES ENS CIEN</v>
      </c>
      <c r="G390" s="0" t="s">
        <v>1986</v>
      </c>
      <c r="H390" s="0" t="s">
        <v>1985</v>
      </c>
    </row>
    <row r="391" customFormat="false" ht="14.65" hidden="false" customHeight="false" outlineLevel="0" collapsed="false">
      <c r="A391" s="43" t="s">
        <v>1175</v>
      </c>
      <c r="B391" s="44" t="s">
        <v>1650</v>
      </c>
      <c r="C391" s="45" t="s">
        <v>1987</v>
      </c>
      <c r="F391" s="0" t="str">
        <f aca="false">_xlfn.CONCAT(G391,H391)</f>
        <v>CSCE0050INTRODUC ESTUDIOS SOCIALES</v>
      </c>
      <c r="G391" s="0" t="s">
        <v>1988</v>
      </c>
      <c r="H391" s="0" t="s">
        <v>1987</v>
      </c>
    </row>
    <row r="392" customFormat="false" ht="14.65" hidden="false" customHeight="false" outlineLevel="0" collapsed="false">
      <c r="A392" s="43" t="s">
        <v>1175</v>
      </c>
      <c r="B392" s="44" t="s">
        <v>1594</v>
      </c>
      <c r="C392" s="45" t="s">
        <v>1989</v>
      </c>
      <c r="F392" s="0" t="str">
        <f aca="false">_xlfn.CONCAT(G392,H392)</f>
        <v>CSCE0052TEND COMT ENFOQUES HIST GEOGR</v>
      </c>
      <c r="G392" s="0" t="s">
        <v>1990</v>
      </c>
      <c r="H392" s="0" t="s">
        <v>1989</v>
      </c>
    </row>
    <row r="393" customFormat="false" ht="14.65" hidden="false" customHeight="false" outlineLevel="0" collapsed="false">
      <c r="A393" s="43" t="s">
        <v>1175</v>
      </c>
      <c r="B393" s="44" t="s">
        <v>1452</v>
      </c>
      <c r="C393" s="45" t="s">
        <v>1991</v>
      </c>
      <c r="F393" s="0" t="str">
        <f aca="false">_xlfn.CONCAT(G393,H393)</f>
        <v>CSCE0056CRECIMIENTO Y DESAR  ADOLESC</v>
      </c>
      <c r="G393" s="0" t="s">
        <v>1992</v>
      </c>
      <c r="H393" s="0" t="s">
        <v>1991</v>
      </c>
    </row>
    <row r="394" customFormat="false" ht="14.65" hidden="false" customHeight="false" outlineLevel="0" collapsed="false">
      <c r="A394" s="43" t="s">
        <v>1175</v>
      </c>
      <c r="B394" s="44" t="s">
        <v>1551</v>
      </c>
      <c r="C394" s="45" t="s">
        <v>1993</v>
      </c>
      <c r="F394" s="0" t="str">
        <f aca="false">_xlfn.CONCAT(G394,H394)</f>
        <v>CSCE0057HISTORIA DE COSTA RICA II</v>
      </c>
      <c r="G394" s="0" t="s">
        <v>1994</v>
      </c>
      <c r="H394" s="0" t="s">
        <v>1993</v>
      </c>
    </row>
    <row r="395" customFormat="false" ht="14.65" hidden="false" customHeight="false" outlineLevel="0" collapsed="false">
      <c r="A395" s="43" t="s">
        <v>1175</v>
      </c>
      <c r="B395" s="44" t="s">
        <v>1499</v>
      </c>
      <c r="C395" s="45" t="s">
        <v>1995</v>
      </c>
      <c r="F395" s="0" t="str">
        <f aca="false">_xlfn.CONCAT(G395,H395)</f>
        <v>CSCE0058HISTORIA DE AMERICA II</v>
      </c>
      <c r="G395" s="0" t="s">
        <v>1996</v>
      </c>
      <c r="H395" s="0" t="s">
        <v>1995</v>
      </c>
    </row>
    <row r="396" customFormat="false" ht="14.65" hidden="false" customHeight="false" outlineLevel="0" collapsed="false">
      <c r="A396" s="43" t="s">
        <v>1175</v>
      </c>
      <c r="B396" s="44" t="s">
        <v>1465</v>
      </c>
      <c r="C396" s="45" t="s">
        <v>1997</v>
      </c>
      <c r="F396" s="0" t="str">
        <f aca="false">_xlfn.CONCAT(G396,H396)</f>
        <v>CSCE0059MEDICION Y EVALUACION I</v>
      </c>
      <c r="G396" s="0" t="s">
        <v>1998</v>
      </c>
      <c r="H396" s="0" t="s">
        <v>1997</v>
      </c>
    </row>
    <row r="397" customFormat="false" ht="14.65" hidden="false" customHeight="false" outlineLevel="0" collapsed="false">
      <c r="A397" s="43" t="s">
        <v>1175</v>
      </c>
      <c r="B397" s="44" t="s">
        <v>1259</v>
      </c>
      <c r="C397" s="45" t="s">
        <v>1999</v>
      </c>
      <c r="F397" s="0" t="str">
        <f aca="false">_xlfn.CONCAT(G397,H397)</f>
        <v>CSCE0060HISTORIA DE COSTA RICA III</v>
      </c>
      <c r="G397" s="0" t="s">
        <v>2000</v>
      </c>
      <c r="H397" s="0" t="s">
        <v>1999</v>
      </c>
    </row>
    <row r="398" customFormat="false" ht="14.65" hidden="false" customHeight="false" outlineLevel="0" collapsed="false">
      <c r="A398" s="43" t="s">
        <v>1175</v>
      </c>
      <c r="B398" s="44" t="s">
        <v>1567</v>
      </c>
      <c r="C398" s="45" t="s">
        <v>799</v>
      </c>
      <c r="F398" s="0" t="str">
        <f aca="false">_xlfn.CONCAT(G398,H398)</f>
        <v>CSCE0061HISTORIA MUNDIAL I</v>
      </c>
      <c r="G398" s="0" t="s">
        <v>2001</v>
      </c>
      <c r="H398" s="0" t="s">
        <v>799</v>
      </c>
    </row>
    <row r="399" customFormat="false" ht="14.65" hidden="false" customHeight="false" outlineLevel="0" collapsed="false">
      <c r="A399" s="43" t="s">
        <v>1175</v>
      </c>
      <c r="B399" s="44" t="s">
        <v>1545</v>
      </c>
      <c r="C399" s="45" t="s">
        <v>2002</v>
      </c>
      <c r="F399" s="0" t="str">
        <f aca="false">_xlfn.CONCAT(G399,H399)</f>
        <v>CSCE0063DIDACTICA  ESTUDIOS SOCIALES</v>
      </c>
      <c r="G399" s="0" t="s">
        <v>2003</v>
      </c>
      <c r="H399" s="0" t="s">
        <v>2002</v>
      </c>
    </row>
    <row r="400" customFormat="false" ht="14.65" hidden="false" customHeight="false" outlineLevel="0" collapsed="false">
      <c r="A400" s="43" t="s">
        <v>1175</v>
      </c>
      <c r="B400" s="44" t="s">
        <v>1570</v>
      </c>
      <c r="C400" s="45" t="s">
        <v>2004</v>
      </c>
      <c r="F400" s="0" t="str">
        <f aca="false">_xlfn.CONCAT(G400,H400)</f>
        <v>CSCE0064MEDICION Y EVALUACION II</v>
      </c>
      <c r="G400" s="0" t="s">
        <v>2005</v>
      </c>
      <c r="H400" s="0" t="s">
        <v>2004</v>
      </c>
    </row>
    <row r="401" customFormat="false" ht="14.65" hidden="false" customHeight="false" outlineLevel="0" collapsed="false">
      <c r="A401" s="43" t="s">
        <v>1175</v>
      </c>
      <c r="B401" s="44" t="s">
        <v>1653</v>
      </c>
      <c r="C401" s="45" t="s">
        <v>2006</v>
      </c>
      <c r="F401" s="0" t="str">
        <f aca="false">_xlfn.CONCAT(G401,H401)</f>
        <v>CSCE0065GEOGRAFIA MUNDIAL I</v>
      </c>
      <c r="G401" s="0" t="s">
        <v>2007</v>
      </c>
      <c r="H401" s="0" t="s">
        <v>2006</v>
      </c>
    </row>
    <row r="402" customFormat="false" ht="14.65" hidden="false" customHeight="false" outlineLevel="0" collapsed="false">
      <c r="A402" s="43" t="s">
        <v>1175</v>
      </c>
      <c r="B402" s="44" t="s">
        <v>1388</v>
      </c>
      <c r="C402" s="45" t="s">
        <v>801</v>
      </c>
      <c r="F402" s="0" t="str">
        <f aca="false">_xlfn.CONCAT(G402,H402)</f>
        <v>CSCE0066HISTORIA MUNDIAL II</v>
      </c>
      <c r="G402" s="0" t="s">
        <v>2008</v>
      </c>
      <c r="H402" s="0" t="s">
        <v>801</v>
      </c>
    </row>
    <row r="403" customFormat="false" ht="14.65" hidden="false" customHeight="false" outlineLevel="0" collapsed="false">
      <c r="A403" s="43" t="s">
        <v>1175</v>
      </c>
      <c r="B403" s="44" t="s">
        <v>1479</v>
      </c>
      <c r="C403" s="45" t="s">
        <v>2009</v>
      </c>
      <c r="F403" s="0" t="str">
        <f aca="false">_xlfn.CONCAT(G403,H403)</f>
        <v>CSCE0068GEOGRAFIA MUNDIAL II</v>
      </c>
      <c r="G403" s="0" t="s">
        <v>2010</v>
      </c>
      <c r="H403" s="0" t="s">
        <v>2009</v>
      </c>
    </row>
    <row r="404" customFormat="false" ht="14.65" hidden="false" customHeight="false" outlineLevel="0" collapsed="false">
      <c r="A404" s="43" t="s">
        <v>1175</v>
      </c>
      <c r="B404" s="44" t="s">
        <v>1645</v>
      </c>
      <c r="C404" s="45" t="s">
        <v>2011</v>
      </c>
      <c r="F404" s="0" t="str">
        <f aca="false">_xlfn.CONCAT(G404,H404)</f>
        <v>CSCE0069HISTORIA MUNDIAL III</v>
      </c>
      <c r="G404" s="0" t="s">
        <v>2012</v>
      </c>
      <c r="H404" s="0" t="s">
        <v>2011</v>
      </c>
    </row>
    <row r="405" customFormat="false" ht="14.65" hidden="false" customHeight="false" outlineLevel="0" collapsed="false">
      <c r="A405" s="43" t="s">
        <v>1175</v>
      </c>
      <c r="B405" s="44" t="s">
        <v>1491</v>
      </c>
      <c r="C405" s="45" t="s">
        <v>2013</v>
      </c>
      <c r="F405" s="0" t="str">
        <f aca="false">_xlfn.CONCAT(G405,H405)</f>
        <v>CSCE0070LA TECN  ENSENANZA DE LOS EST</v>
      </c>
      <c r="G405" s="0" t="s">
        <v>2014</v>
      </c>
      <c r="H405" s="0" t="s">
        <v>2013</v>
      </c>
    </row>
    <row r="406" customFormat="false" ht="14.65" hidden="false" customHeight="false" outlineLevel="0" collapsed="false">
      <c r="A406" s="43" t="s">
        <v>1175</v>
      </c>
      <c r="B406" s="44" t="s">
        <v>2015</v>
      </c>
      <c r="C406" s="45" t="s">
        <v>2016</v>
      </c>
      <c r="F406" s="0" t="str">
        <f aca="false">_xlfn.CONCAT(G406,H406)</f>
        <v>CSCE0071GEOGRAFIA DE COSTA RICA</v>
      </c>
      <c r="G406" s="0" t="s">
        <v>2017</v>
      </c>
      <c r="H406" s="0" t="s">
        <v>2016</v>
      </c>
    </row>
    <row r="407" customFormat="false" ht="14.65" hidden="false" customHeight="false" outlineLevel="0" collapsed="false">
      <c r="A407" s="43" t="s">
        <v>1175</v>
      </c>
      <c r="B407" s="44" t="s">
        <v>2018</v>
      </c>
      <c r="C407" s="45" t="s">
        <v>2019</v>
      </c>
      <c r="F407" s="0" t="str">
        <f aca="false">_xlfn.CONCAT(G407,H407)</f>
        <v>CSCE0072GEOGRAFIA MUNDIAL III</v>
      </c>
      <c r="G407" s="0" t="s">
        <v>2020</v>
      </c>
      <c r="H407" s="0" t="s">
        <v>2019</v>
      </c>
    </row>
    <row r="408" customFormat="false" ht="14.65" hidden="false" customHeight="false" outlineLevel="0" collapsed="false">
      <c r="A408" s="43" t="s">
        <v>1175</v>
      </c>
      <c r="B408" s="44" t="s">
        <v>2021</v>
      </c>
      <c r="C408" s="45" t="s">
        <v>2022</v>
      </c>
      <c r="F408" s="0" t="str">
        <f aca="false">_xlfn.CONCAT(G408,H408)</f>
        <v>CSCE0073LA EDUCACION CIUDADANA</v>
      </c>
      <c r="G408" s="0" t="s">
        <v>2023</v>
      </c>
      <c r="H408" s="0" t="s">
        <v>2022</v>
      </c>
    </row>
    <row r="409" customFormat="false" ht="14.65" hidden="false" customHeight="false" outlineLevel="0" collapsed="false">
      <c r="A409" s="43" t="s">
        <v>1175</v>
      </c>
      <c r="B409" s="44" t="s">
        <v>2024</v>
      </c>
      <c r="C409" s="45" t="s">
        <v>2025</v>
      </c>
      <c r="F409" s="0" t="str">
        <f aca="false">_xlfn.CONCAT(G409,H409)</f>
        <v>CSCE0075PROBLEM COSTA RICA COMTEMPORAN</v>
      </c>
      <c r="G409" s="0" t="s">
        <v>2026</v>
      </c>
      <c r="H409" s="0" t="s">
        <v>2025</v>
      </c>
    </row>
    <row r="410" customFormat="false" ht="14.65" hidden="false" customHeight="false" outlineLevel="0" collapsed="false">
      <c r="A410" s="43" t="s">
        <v>1175</v>
      </c>
      <c r="B410" s="44" t="s">
        <v>2027</v>
      </c>
      <c r="C410" s="45" t="s">
        <v>2028</v>
      </c>
      <c r="F410" s="0" t="str">
        <f aca="false">_xlfn.CONCAT(G410,H410)</f>
        <v>CSCE0127PRACTICA SUPERVISADA</v>
      </c>
      <c r="G410" s="0" t="s">
        <v>2029</v>
      </c>
      <c r="H410" s="0" t="s">
        <v>2028</v>
      </c>
    </row>
    <row r="411" customFormat="false" ht="14.65" hidden="false" customHeight="false" outlineLevel="0" collapsed="false">
      <c r="A411" s="43" t="s">
        <v>1175</v>
      </c>
      <c r="B411" s="44" t="s">
        <v>1314</v>
      </c>
      <c r="C411" s="45" t="s">
        <v>2030</v>
      </c>
      <c r="F411" s="0" t="str">
        <f aca="false">_xlfn.CONCAT(G411,H411)</f>
        <v>CSCE0104ORIGEN Y EVOLUCION DEL ESPANOL</v>
      </c>
      <c r="G411" s="0" t="s">
        <v>2031</v>
      </c>
      <c r="H411" s="0" t="s">
        <v>2030</v>
      </c>
    </row>
    <row r="412" customFormat="false" ht="14.65" hidden="false" customHeight="false" outlineLevel="0" collapsed="false">
      <c r="A412" s="43" t="s">
        <v>1175</v>
      </c>
      <c r="B412" s="44" t="s">
        <v>1510</v>
      </c>
      <c r="C412" s="45" t="s">
        <v>2032</v>
      </c>
      <c r="F412" s="0" t="str">
        <f aca="false">_xlfn.CONCAT(G412,H412)</f>
        <v>CSCE0110SEMINARIO DE LENGUAS CLASICAS</v>
      </c>
      <c r="G412" s="0" t="s">
        <v>2033</v>
      </c>
      <c r="H412" s="0" t="s">
        <v>2032</v>
      </c>
    </row>
    <row r="413" customFormat="false" ht="14.65" hidden="false" customHeight="false" outlineLevel="0" collapsed="false">
      <c r="A413" s="43" t="s">
        <v>1175</v>
      </c>
      <c r="B413" s="44" t="s">
        <v>1456</v>
      </c>
      <c r="C413" s="45" t="s">
        <v>2034</v>
      </c>
      <c r="F413" s="0" t="str">
        <f aca="false">_xlfn.CONCAT(G413,H413)</f>
        <v>CSCE0092FILOSOFIA DE LA EDUCACION</v>
      </c>
      <c r="G413" s="0" t="s">
        <v>2035</v>
      </c>
      <c r="H413" s="0" t="s">
        <v>2034</v>
      </c>
    </row>
    <row r="414" customFormat="false" ht="14.65" hidden="false" customHeight="false" outlineLevel="0" collapsed="false">
      <c r="A414" s="43" t="s">
        <v>1175</v>
      </c>
      <c r="B414" s="44" t="s">
        <v>2036</v>
      </c>
      <c r="C414" s="45" t="s">
        <v>2037</v>
      </c>
      <c r="F414" s="0" t="str">
        <f aca="false">_xlfn.CONCAT(G414,H414)</f>
        <v>CSCE0096GRAMATICA ESPANOLA I</v>
      </c>
      <c r="G414" s="0" t="s">
        <v>2038</v>
      </c>
      <c r="H414" s="0" t="s">
        <v>2037</v>
      </c>
    </row>
    <row r="415" customFormat="false" ht="14.65" hidden="false" customHeight="false" outlineLevel="0" collapsed="false">
      <c r="A415" s="43" t="s">
        <v>1175</v>
      </c>
      <c r="B415" s="44" t="s">
        <v>2039</v>
      </c>
      <c r="C415" s="45" t="s">
        <v>2040</v>
      </c>
      <c r="F415" s="0" t="str">
        <f aca="false">_xlfn.CONCAT(G415,H415)</f>
        <v>CSCE0129PRODUCCION DE TEXTO ESCRITO</v>
      </c>
      <c r="G415" s="0" t="s">
        <v>2041</v>
      </c>
      <c r="H415" s="0" t="s">
        <v>2040</v>
      </c>
    </row>
    <row r="416" customFormat="false" ht="14.65" hidden="false" customHeight="false" outlineLevel="0" collapsed="false">
      <c r="A416" s="43" t="s">
        <v>1175</v>
      </c>
      <c r="B416" s="44" t="s">
        <v>2042</v>
      </c>
      <c r="C416" s="45" t="s">
        <v>2043</v>
      </c>
      <c r="F416" s="0" t="str">
        <f aca="false">_xlfn.CONCAT(G416,H416)</f>
        <v>CSCE0080GRAMATICA ESPANOLA II</v>
      </c>
      <c r="G416" s="0" t="s">
        <v>2044</v>
      </c>
      <c r="H416" s="0" t="s">
        <v>2043</v>
      </c>
    </row>
    <row r="417" customFormat="false" ht="14.65" hidden="false" customHeight="false" outlineLevel="0" collapsed="false">
      <c r="A417" s="43" t="s">
        <v>1175</v>
      </c>
      <c r="B417" s="44" t="s">
        <v>1843</v>
      </c>
      <c r="C417" s="45" t="s">
        <v>2045</v>
      </c>
      <c r="F417" s="0" t="str">
        <f aca="false">_xlfn.CONCAT(G417,H417)</f>
        <v>CSCE0089PERSPECTIVAS GENERAL TEOR LITE</v>
      </c>
      <c r="G417" s="0" t="s">
        <v>2046</v>
      </c>
      <c r="H417" s="0" t="s">
        <v>2045</v>
      </c>
    </row>
    <row r="418" customFormat="false" ht="14.65" hidden="false" customHeight="false" outlineLevel="0" collapsed="false">
      <c r="A418" s="43" t="s">
        <v>1175</v>
      </c>
      <c r="B418" s="44" t="s">
        <v>1548</v>
      </c>
      <c r="C418" s="45" t="s">
        <v>2047</v>
      </c>
      <c r="F418" s="0" t="str">
        <f aca="false">_xlfn.CONCAT(G418,H418)</f>
        <v>CSCE0109PRODUCCION DEL TEXTO ORAL</v>
      </c>
      <c r="G418" s="0" t="s">
        <v>2048</v>
      </c>
      <c r="H418" s="0" t="s">
        <v>2047</v>
      </c>
    </row>
    <row r="419" customFormat="false" ht="14.65" hidden="false" customHeight="false" outlineLevel="0" collapsed="false">
      <c r="A419" s="43" t="s">
        <v>1175</v>
      </c>
      <c r="B419" s="44" t="s">
        <v>1518</v>
      </c>
      <c r="C419" s="45" t="s">
        <v>2049</v>
      </c>
      <c r="F419" s="0" t="str">
        <f aca="false">_xlfn.CONCAT(G419,H419)</f>
        <v>CSCE0111SEMINARIO LITERATURA CLASICA</v>
      </c>
      <c r="G419" s="0" t="s">
        <v>2050</v>
      </c>
      <c r="H419" s="0" t="s">
        <v>2049</v>
      </c>
    </row>
    <row r="420" customFormat="false" ht="14.65" hidden="false" customHeight="false" outlineLevel="0" collapsed="false">
      <c r="A420" s="43" t="s">
        <v>1370</v>
      </c>
      <c r="B420" s="44" t="s">
        <v>1309</v>
      </c>
      <c r="C420" s="45" t="s">
        <v>2051</v>
      </c>
      <c r="F420" s="0" t="str">
        <f aca="false">_xlfn.CONCAT(G420,H420)</f>
        <v>INTI0103PAQUETES COMPUTACIONALES</v>
      </c>
      <c r="G420" s="0" t="s">
        <v>2052</v>
      </c>
      <c r="H420" s="0" t="s">
        <v>2051</v>
      </c>
    </row>
    <row r="421" customFormat="false" ht="14.65" hidden="false" customHeight="false" outlineLevel="0" collapsed="false">
      <c r="A421" s="43" t="s">
        <v>1175</v>
      </c>
      <c r="B421" s="44" t="s">
        <v>1536</v>
      </c>
      <c r="C421" s="45" t="s">
        <v>2053</v>
      </c>
      <c r="F421" s="0" t="str">
        <f aca="false">_xlfn.CONCAT(G421,H421)</f>
        <v>CSCE0107PROCESO DE INVESTIG LITERARIA</v>
      </c>
      <c r="G421" s="0" t="s">
        <v>2054</v>
      </c>
      <c r="H421" s="0" t="s">
        <v>2053</v>
      </c>
    </row>
    <row r="422" customFormat="false" ht="14.65" hidden="false" customHeight="false" outlineLevel="0" collapsed="false">
      <c r="A422" s="43" t="s">
        <v>1175</v>
      </c>
      <c r="B422" s="44" t="s">
        <v>1879</v>
      </c>
      <c r="C422" s="45" t="s">
        <v>2055</v>
      </c>
      <c r="F422" s="0" t="str">
        <f aca="false">_xlfn.CONCAT(G422,H422)</f>
        <v>CSCE0088ELEMENT LINGUIST Y FILOLOG ESP</v>
      </c>
      <c r="G422" s="0" t="s">
        <v>2056</v>
      </c>
      <c r="H422" s="0" t="s">
        <v>2055</v>
      </c>
    </row>
    <row r="423" customFormat="false" ht="14.65" hidden="false" customHeight="false" outlineLevel="0" collapsed="false">
      <c r="A423" s="43" t="s">
        <v>1370</v>
      </c>
      <c r="B423" s="44" t="s">
        <v>1518</v>
      </c>
      <c r="C423" s="45" t="s">
        <v>2057</v>
      </c>
      <c r="F423" s="0" t="str">
        <f aca="false">_xlfn.CONCAT(G423,H423)</f>
        <v>INTI0111APLICAC  INF ENSENANZA DEL ESP</v>
      </c>
      <c r="G423" s="0" t="s">
        <v>2058</v>
      </c>
      <c r="H423" s="0" t="s">
        <v>2057</v>
      </c>
    </row>
    <row r="424" customFormat="false" ht="14.65" hidden="false" customHeight="false" outlineLevel="0" collapsed="false">
      <c r="A424" s="43" t="s">
        <v>1175</v>
      </c>
      <c r="B424" s="44" t="s">
        <v>1432</v>
      </c>
      <c r="C424" s="45" t="s">
        <v>2059</v>
      </c>
      <c r="F424" s="0" t="str">
        <f aca="false">_xlfn.CONCAT(G424,H424)</f>
        <v>CSCE0098LEGIS EDUC Y REGIMEN JURIDICO</v>
      </c>
      <c r="G424" s="0" t="s">
        <v>2060</v>
      </c>
      <c r="H424" s="0" t="s">
        <v>2059</v>
      </c>
    </row>
    <row r="425" customFormat="false" ht="14.65" hidden="false" customHeight="false" outlineLevel="0" collapsed="false">
      <c r="A425" s="43" t="s">
        <v>1175</v>
      </c>
      <c r="B425" s="44" t="s">
        <v>1583</v>
      </c>
      <c r="C425" s="45" t="s">
        <v>2061</v>
      </c>
      <c r="F425" s="0" t="str">
        <f aca="false">_xlfn.CONCAT(G425,H425)</f>
        <v>CSCE0113SEMINARIO LITERATURA ESPANOLA</v>
      </c>
      <c r="G425" s="0" t="s">
        <v>2062</v>
      </c>
      <c r="H425" s="0" t="s">
        <v>2061</v>
      </c>
    </row>
    <row r="426" customFormat="false" ht="14.65" hidden="false" customHeight="false" outlineLevel="0" collapsed="false">
      <c r="A426" s="43" t="s">
        <v>1175</v>
      </c>
      <c r="B426" s="44" t="s">
        <v>1429</v>
      </c>
      <c r="C426" s="45" t="s">
        <v>2063</v>
      </c>
      <c r="F426" s="0" t="str">
        <f aca="false">_xlfn.CONCAT(G426,H426)</f>
        <v>CSCE0097INTRO TEORIAS CRITICAS DEL DI</v>
      </c>
      <c r="G426" s="0" t="s">
        <v>2064</v>
      </c>
      <c r="H426" s="0" t="s">
        <v>2063</v>
      </c>
    </row>
    <row r="427" customFormat="false" ht="14.65" hidden="false" customHeight="false" outlineLevel="0" collapsed="false">
      <c r="A427" s="43" t="s">
        <v>1175</v>
      </c>
      <c r="B427" s="44" t="s">
        <v>2065</v>
      </c>
      <c r="C427" s="45" t="s">
        <v>2066</v>
      </c>
      <c r="F427" s="0" t="str">
        <f aca="false">_xlfn.CONCAT(G427,H427)</f>
        <v>CSCE0085DIDACTICA DEL ESPANOL</v>
      </c>
      <c r="G427" s="0" t="s">
        <v>2067</v>
      </c>
      <c r="H427" s="0" t="s">
        <v>2066</v>
      </c>
    </row>
    <row r="428" customFormat="false" ht="14.65" hidden="false" customHeight="false" outlineLevel="0" collapsed="false">
      <c r="A428" s="43" t="s">
        <v>1175</v>
      </c>
      <c r="B428" s="44" t="s">
        <v>1578</v>
      </c>
      <c r="C428" s="45" t="s">
        <v>2068</v>
      </c>
      <c r="F428" s="0" t="str">
        <f aca="false">_xlfn.CONCAT(G428,H428)</f>
        <v>CSCE0115SEMINARIO  LITERAT HISPANOAMER</v>
      </c>
      <c r="G428" s="0" t="s">
        <v>2069</v>
      </c>
      <c r="H428" s="0" t="s">
        <v>2068</v>
      </c>
    </row>
    <row r="429" customFormat="false" ht="14.65" hidden="false" customHeight="false" outlineLevel="0" collapsed="false">
      <c r="A429" s="43" t="s">
        <v>1175</v>
      </c>
      <c r="B429" s="44" t="s">
        <v>1326</v>
      </c>
      <c r="C429" s="45" t="s">
        <v>2070</v>
      </c>
      <c r="F429" s="0" t="str">
        <f aca="false">_xlfn.CONCAT(G429,H429)</f>
        <v>CSCE0106PRAGMATICA LINGÜISTICA</v>
      </c>
      <c r="G429" s="0" t="s">
        <v>2071</v>
      </c>
      <c r="H429" s="0" t="s">
        <v>2070</v>
      </c>
    </row>
    <row r="430" customFormat="false" ht="14.65" hidden="false" customHeight="false" outlineLevel="0" collapsed="false">
      <c r="A430" s="43" t="s">
        <v>1175</v>
      </c>
      <c r="B430" s="44" t="s">
        <v>1529</v>
      </c>
      <c r="C430" s="45" t="s">
        <v>2072</v>
      </c>
      <c r="F430" s="0" t="str">
        <f aca="false">_xlfn.CONCAT(G430,H430)</f>
        <v>CSCE0112SEMINARIO  LITERAT COSTARRIC</v>
      </c>
      <c r="G430" s="0" t="s">
        <v>2073</v>
      </c>
      <c r="H430" s="0" t="s">
        <v>2072</v>
      </c>
    </row>
    <row r="431" customFormat="false" ht="14.65" hidden="false" customHeight="false" outlineLevel="0" collapsed="false">
      <c r="A431" s="43" t="s">
        <v>1175</v>
      </c>
      <c r="B431" s="44" t="s">
        <v>1541</v>
      </c>
      <c r="C431" s="45" t="s">
        <v>2074</v>
      </c>
      <c r="F431" s="0" t="str">
        <f aca="false">_xlfn.CONCAT(G431,H431)</f>
        <v>CSCE0114SEMINARIO LITERAT EXTRANJERA</v>
      </c>
      <c r="G431" s="0" t="s">
        <v>2075</v>
      </c>
      <c r="H431" s="0" t="s">
        <v>2074</v>
      </c>
    </row>
    <row r="432" customFormat="false" ht="14.65" hidden="false" customHeight="false" outlineLevel="0" collapsed="false">
      <c r="A432" s="43" t="s">
        <v>1175</v>
      </c>
      <c r="B432" s="44" t="s">
        <v>1138</v>
      </c>
      <c r="C432" s="45" t="s">
        <v>2076</v>
      </c>
      <c r="F432" s="0" t="str">
        <f aca="false">_xlfn.CONCAT(G432,H432)</f>
        <v>CSCE0025FUND CIENCIAS DE EDUCACION I</v>
      </c>
      <c r="G432" s="0" t="s">
        <v>2077</v>
      </c>
      <c r="H432" s="0" t="s">
        <v>2076</v>
      </c>
    </row>
    <row r="433" customFormat="false" ht="14.65" hidden="false" customHeight="false" outlineLevel="0" collapsed="false">
      <c r="A433" s="43" t="s">
        <v>1175</v>
      </c>
      <c r="B433" s="44" t="s">
        <v>1144</v>
      </c>
      <c r="C433" s="45" t="s">
        <v>2078</v>
      </c>
      <c r="F433" s="0" t="str">
        <f aca="false">_xlfn.CONCAT(G433,H433)</f>
        <v>CSCE0026ESTIMUL DESARROL INTEGRAL NINO</v>
      </c>
      <c r="G433" s="0" t="s">
        <v>2079</v>
      </c>
      <c r="H433" s="0" t="s">
        <v>2078</v>
      </c>
    </row>
    <row r="434" customFormat="false" ht="14.65" hidden="false" customHeight="false" outlineLevel="0" collapsed="false">
      <c r="A434" s="43" t="s">
        <v>1175</v>
      </c>
      <c r="B434" s="44" t="s">
        <v>1147</v>
      </c>
      <c r="C434" s="45" t="s">
        <v>2080</v>
      </c>
      <c r="F434" s="0" t="str">
        <f aca="false">_xlfn.CONCAT(G434,H434)</f>
        <v>CSCE0027ORTOGRAFIA TECS RED PROFES</v>
      </c>
      <c r="G434" s="0" t="s">
        <v>2081</v>
      </c>
      <c r="H434" s="0" t="s">
        <v>2080</v>
      </c>
    </row>
    <row r="435" customFormat="false" ht="14.65" hidden="false" customHeight="false" outlineLevel="0" collapsed="false">
      <c r="A435" s="43" t="s">
        <v>1175</v>
      </c>
      <c r="B435" s="44" t="s">
        <v>1153</v>
      </c>
      <c r="C435" s="45" t="s">
        <v>2082</v>
      </c>
      <c r="F435" s="0" t="str">
        <f aca="false">_xlfn.CONCAT(G435,H435)</f>
        <v>CSCE0028PRINC INVEST Y ANALIS ESTADIST</v>
      </c>
      <c r="G435" s="0" t="s">
        <v>2083</v>
      </c>
      <c r="H435" s="0" t="s">
        <v>2082</v>
      </c>
    </row>
    <row r="436" customFormat="false" ht="14.65" hidden="false" customHeight="false" outlineLevel="0" collapsed="false">
      <c r="A436" s="43" t="s">
        <v>1175</v>
      </c>
      <c r="B436" s="44" t="s">
        <v>1141</v>
      </c>
      <c r="C436" s="45" t="s">
        <v>2084</v>
      </c>
      <c r="F436" s="0" t="str">
        <f aca="false">_xlfn.CONCAT(G436,H436)</f>
        <v>CSCE0029FUND CIENCIAS DE EDUCACION II</v>
      </c>
      <c r="G436" s="0" t="s">
        <v>2085</v>
      </c>
      <c r="H436" s="0" t="s">
        <v>2084</v>
      </c>
    </row>
    <row r="437" customFormat="false" ht="14.65" hidden="false" customHeight="false" outlineLevel="0" collapsed="false">
      <c r="A437" s="43" t="s">
        <v>1175</v>
      </c>
      <c r="B437" s="44" t="s">
        <v>1156</v>
      </c>
      <c r="C437" s="45" t="s">
        <v>2086</v>
      </c>
      <c r="F437" s="0" t="str">
        <f aca="false">_xlfn.CONCAT(G437,H437)</f>
        <v>CSCE0031ARTES DEL IDIOMA</v>
      </c>
      <c r="G437" s="0" t="s">
        <v>2087</v>
      </c>
      <c r="H437" s="0" t="s">
        <v>2086</v>
      </c>
    </row>
    <row r="438" customFormat="false" ht="14.65" hidden="false" customHeight="false" outlineLevel="0" collapsed="false">
      <c r="A438" s="43" t="s">
        <v>1175</v>
      </c>
      <c r="B438" s="44" t="s">
        <v>1159</v>
      </c>
      <c r="C438" s="45" t="s">
        <v>2088</v>
      </c>
      <c r="F438" s="0" t="str">
        <f aca="false">_xlfn.CONCAT(G438,H438)</f>
        <v>CSCE0032PSICOLOGIA EDUC PREESCOLAR I</v>
      </c>
      <c r="G438" s="0" t="s">
        <v>2089</v>
      </c>
      <c r="H438" s="0" t="s">
        <v>2088</v>
      </c>
    </row>
    <row r="439" customFormat="false" ht="14.65" hidden="false" customHeight="false" outlineLevel="0" collapsed="false">
      <c r="A439" s="43" t="s">
        <v>1175</v>
      </c>
      <c r="B439" s="44" t="s">
        <v>1415</v>
      </c>
      <c r="C439" s="45" t="s">
        <v>2090</v>
      </c>
      <c r="F439" s="0" t="str">
        <f aca="false">_xlfn.CONCAT(G439,H439)</f>
        <v>CSCE0033FUNDAMENTOS DE LA MUSICA</v>
      </c>
      <c r="G439" s="0" t="s">
        <v>2091</v>
      </c>
      <c r="H439" s="0" t="s">
        <v>2090</v>
      </c>
    </row>
    <row r="440" customFormat="false" ht="14.65" hidden="false" customHeight="false" outlineLevel="0" collapsed="false">
      <c r="A440" s="43" t="s">
        <v>1175</v>
      </c>
      <c r="B440" s="44" t="s">
        <v>1395</v>
      </c>
      <c r="C440" s="45" t="s">
        <v>2092</v>
      </c>
      <c r="F440" s="0" t="str">
        <f aca="false">_xlfn.CONCAT(G440,H440)</f>
        <v>CSCE0034ARTES Y MATERIALES</v>
      </c>
      <c r="G440" s="0" t="s">
        <v>2093</v>
      </c>
      <c r="H440" s="0" t="s">
        <v>2092</v>
      </c>
    </row>
    <row r="441" customFormat="false" ht="14.65" hidden="false" customHeight="false" outlineLevel="0" collapsed="false">
      <c r="A441" s="43" t="s">
        <v>1175</v>
      </c>
      <c r="B441" s="44" t="s">
        <v>1622</v>
      </c>
      <c r="C441" s="45" t="s">
        <v>2094</v>
      </c>
      <c r="F441" s="0" t="str">
        <f aca="false">_xlfn.CONCAT(G441,H441)</f>
        <v>CSCE0035EDUC POR MEDIO DEL MOVIMIENTO</v>
      </c>
      <c r="G441" s="0" t="s">
        <v>2095</v>
      </c>
      <c r="H441" s="0" t="s">
        <v>2094</v>
      </c>
    </row>
    <row r="442" customFormat="false" ht="14.65" hidden="false" customHeight="false" outlineLevel="0" collapsed="false">
      <c r="A442" s="43" t="s">
        <v>1175</v>
      </c>
      <c r="B442" s="44" t="s">
        <v>1482</v>
      </c>
      <c r="C442" s="45" t="s">
        <v>2096</v>
      </c>
      <c r="F442" s="0" t="str">
        <f aca="false">_xlfn.CONCAT(G442,H442)</f>
        <v>CSCE0036PSICOLOGIA EDUC PREESCOLAR II</v>
      </c>
      <c r="G442" s="0" t="s">
        <v>2097</v>
      </c>
      <c r="H442" s="0" t="s">
        <v>2096</v>
      </c>
    </row>
    <row r="443" customFormat="false" ht="14.65" hidden="false" customHeight="false" outlineLevel="0" collapsed="false">
      <c r="A443" s="43" t="s">
        <v>1175</v>
      </c>
      <c r="B443" s="44" t="s">
        <v>1449</v>
      </c>
      <c r="C443" s="45" t="s">
        <v>2098</v>
      </c>
      <c r="F443" s="0" t="str">
        <f aca="false">_xlfn.CONCAT(G443,H443)</f>
        <v>CSCE0037EPISTEMOLOGIA DE LA EDUCACION</v>
      </c>
      <c r="G443" s="0" t="s">
        <v>2099</v>
      </c>
      <c r="H443" s="0" t="s">
        <v>2098</v>
      </c>
    </row>
    <row r="444" customFormat="false" ht="14.65" hidden="false" customHeight="false" outlineLevel="0" collapsed="false">
      <c r="A444" s="43" t="s">
        <v>1175</v>
      </c>
      <c r="B444" s="44" t="s">
        <v>1485</v>
      </c>
      <c r="C444" s="45" t="s">
        <v>2100</v>
      </c>
      <c r="F444" s="0" t="str">
        <f aca="false">_xlfn.CONCAT(G444,H444)</f>
        <v>CSCE0038CIENCIAS EDUCACION PREESCOLAR</v>
      </c>
      <c r="G444" s="0" t="s">
        <v>2101</v>
      </c>
      <c r="H444" s="0" t="s">
        <v>2100</v>
      </c>
    </row>
    <row r="445" customFormat="false" ht="14.65" hidden="false" customHeight="false" outlineLevel="0" collapsed="false">
      <c r="A445" s="43" t="s">
        <v>1175</v>
      </c>
      <c r="B445" s="44" t="s">
        <v>1488</v>
      </c>
      <c r="C445" s="45" t="s">
        <v>2102</v>
      </c>
      <c r="F445" s="0" t="str">
        <f aca="false">_xlfn.CONCAT(G445,H445)</f>
        <v>CSCE0039CURRICULUM</v>
      </c>
      <c r="G445" s="0" t="s">
        <v>2103</v>
      </c>
      <c r="H445" s="0" t="s">
        <v>2102</v>
      </c>
    </row>
    <row r="446" customFormat="false" ht="14.65" hidden="false" customHeight="false" outlineLevel="0" collapsed="false">
      <c r="A446" s="43" t="s">
        <v>1175</v>
      </c>
      <c r="B446" s="44" t="s">
        <v>1929</v>
      </c>
      <c r="C446" s="45" t="s">
        <v>2104</v>
      </c>
      <c r="F446" s="0" t="str">
        <f aca="false">_xlfn.CONCAT(G446,H446)</f>
        <v>CSCE0040EL NINO EXCEPCIONAL</v>
      </c>
      <c r="G446" s="0" t="s">
        <v>2105</v>
      </c>
      <c r="H446" s="0" t="s">
        <v>2104</v>
      </c>
    </row>
    <row r="447" customFormat="false" ht="14.65" hidden="false" customHeight="false" outlineLevel="0" collapsed="false">
      <c r="A447" s="43" t="s">
        <v>1175</v>
      </c>
      <c r="B447" s="44" t="s">
        <v>1473</v>
      </c>
      <c r="C447" s="45" t="s">
        <v>2106</v>
      </c>
      <c r="F447" s="0" t="str">
        <f aca="false">_xlfn.CONCAT(G447,H447)</f>
        <v>CSCE0041ESTUDIOS SOCIALES</v>
      </c>
      <c r="G447" s="0" t="s">
        <v>2107</v>
      </c>
      <c r="H447" s="0" t="s">
        <v>2106</v>
      </c>
    </row>
    <row r="448" customFormat="false" ht="14.65" hidden="false" customHeight="false" outlineLevel="0" collapsed="false">
      <c r="A448" s="43" t="s">
        <v>1175</v>
      </c>
      <c r="B448" s="44" t="s">
        <v>1612</v>
      </c>
      <c r="C448" s="45" t="s">
        <v>2108</v>
      </c>
      <c r="F448" s="0" t="str">
        <f aca="false">_xlfn.CONCAT(G448,H448)</f>
        <v>CSCE0042EVALUAC EDUCACION PREESCOLAR</v>
      </c>
      <c r="G448" s="0" t="s">
        <v>2109</v>
      </c>
      <c r="H448" s="0" t="s">
        <v>2108</v>
      </c>
    </row>
    <row r="449" customFormat="false" ht="14.65" hidden="false" customHeight="false" outlineLevel="0" collapsed="false">
      <c r="A449" s="43" t="s">
        <v>1175</v>
      </c>
      <c r="B449" s="44" t="s">
        <v>1615</v>
      </c>
      <c r="C449" s="45" t="s">
        <v>2110</v>
      </c>
      <c r="F449" s="0" t="str">
        <f aca="false">_xlfn.CONCAT(G449,H449)</f>
        <v>CSCE0043METOD Y TECN  TRABAJO EN GRUPO</v>
      </c>
      <c r="G449" s="0" t="s">
        <v>2111</v>
      </c>
      <c r="H449" s="0" t="s">
        <v>2110</v>
      </c>
    </row>
    <row r="450" customFormat="false" ht="14.65" hidden="false" customHeight="false" outlineLevel="0" collapsed="false">
      <c r="A450" s="43" t="s">
        <v>1175</v>
      </c>
      <c r="B450" s="44" t="s">
        <v>1639</v>
      </c>
      <c r="C450" s="45" t="s">
        <v>2112</v>
      </c>
      <c r="F450" s="0" t="str">
        <f aca="false">_xlfn.CONCAT(G450,H450)</f>
        <v>CSCE0044MATEMATICA EDUCAC PREESCOLAR</v>
      </c>
      <c r="G450" s="0" t="s">
        <v>2113</v>
      </c>
      <c r="H450" s="0" t="s">
        <v>2112</v>
      </c>
    </row>
    <row r="451" customFormat="false" ht="14.65" hidden="false" customHeight="false" outlineLevel="0" collapsed="false">
      <c r="A451" s="43" t="s">
        <v>1175</v>
      </c>
      <c r="B451" s="44" t="s">
        <v>1630</v>
      </c>
      <c r="C451" s="45" t="s">
        <v>2114</v>
      </c>
      <c r="F451" s="0" t="str">
        <f aca="false">_xlfn.CONCAT(G451,H451)</f>
        <v>CSCE0045JUEGOS EN EDUCACION PREESCOLAR</v>
      </c>
      <c r="G451" s="0" t="s">
        <v>2115</v>
      </c>
      <c r="H451" s="0" t="s">
        <v>2114</v>
      </c>
    </row>
    <row r="452" customFormat="false" ht="14.65" hidden="false" customHeight="false" outlineLevel="0" collapsed="false">
      <c r="A452" s="43" t="s">
        <v>1074</v>
      </c>
      <c r="B452" s="44" t="s">
        <v>1395</v>
      </c>
      <c r="C452" s="45" t="s">
        <v>2116</v>
      </c>
      <c r="F452" s="0" t="str">
        <f aca="false">_xlfn.CONCAT(G452,H452)</f>
        <v>HSHM0034NUTRICION Y SALUD</v>
      </c>
      <c r="G452" s="0" t="s">
        <v>2117</v>
      </c>
      <c r="H452" s="0" t="s">
        <v>2116</v>
      </c>
    </row>
    <row r="453" customFormat="false" ht="14.65" hidden="false" customHeight="false" outlineLevel="0" collapsed="false">
      <c r="A453" s="43" t="s">
        <v>1175</v>
      </c>
      <c r="B453" s="44" t="s">
        <v>1634</v>
      </c>
      <c r="C453" s="45" t="s">
        <v>2118</v>
      </c>
      <c r="F453" s="0" t="str">
        <f aca="false">_xlfn.CONCAT(G453,H453)</f>
        <v>CSCE0046ADMINISTRAC CENTROS INFANTILES</v>
      </c>
      <c r="G453" s="0" t="s">
        <v>2119</v>
      </c>
      <c r="H453" s="0" t="s">
        <v>2118</v>
      </c>
    </row>
    <row r="454" customFormat="false" ht="14.65" hidden="false" customHeight="false" outlineLevel="0" collapsed="false">
      <c r="A454" s="43" t="s">
        <v>1370</v>
      </c>
      <c r="B454" s="44" t="s">
        <v>1465</v>
      </c>
      <c r="C454" s="45" t="s">
        <v>2120</v>
      </c>
      <c r="F454" s="0" t="str">
        <f aca="false">_xlfn.CONCAT(G454,H454)</f>
        <v>INTI0059APLIC COMPUTACION EDUCACION</v>
      </c>
      <c r="G454" s="0" t="s">
        <v>2121</v>
      </c>
      <c r="H454" s="0" t="s">
        <v>2120</v>
      </c>
    </row>
    <row r="455" customFormat="false" ht="14.65" hidden="false" customHeight="false" outlineLevel="0" collapsed="false">
      <c r="A455" s="43" t="s">
        <v>1175</v>
      </c>
      <c r="B455" s="44" t="s">
        <v>1531</v>
      </c>
      <c r="C455" s="45" t="s">
        <v>2122</v>
      </c>
      <c r="F455" s="0" t="str">
        <f aca="false">_xlfn.CONCAT(G455,H455)</f>
        <v>CSCE0047PROY MEJORAM ENSENANZA APREND</v>
      </c>
      <c r="G455" s="0" t="s">
        <v>2123</v>
      </c>
      <c r="H455" s="0" t="s">
        <v>2122</v>
      </c>
    </row>
    <row r="456" customFormat="false" ht="14.65" hidden="false" customHeight="false" outlineLevel="0" collapsed="false">
      <c r="A456" s="43" t="s">
        <v>1175</v>
      </c>
      <c r="B456" s="44" t="s">
        <v>1600</v>
      </c>
      <c r="C456" s="45" t="s">
        <v>1206</v>
      </c>
      <c r="F456" s="0" t="str">
        <f aca="false">_xlfn.CONCAT(G456,H456)</f>
        <v>CSCE0048ETICA PROFESIONAL</v>
      </c>
      <c r="G456" s="0" t="s">
        <v>2124</v>
      </c>
      <c r="H456" s="0" t="s">
        <v>1206</v>
      </c>
    </row>
    <row r="457" customFormat="false" ht="14.65" hidden="false" customHeight="false" outlineLevel="0" collapsed="false">
      <c r="A457" s="43" t="s">
        <v>1175</v>
      </c>
      <c r="B457" s="44" t="s">
        <v>2125</v>
      </c>
      <c r="C457" s="45" t="s">
        <v>2126</v>
      </c>
      <c r="F457" s="0" t="str">
        <f aca="false">_xlfn.CONCAT(G457,H457)</f>
        <v>CSCE2034LOGICA Y PROBABILIDADES</v>
      </c>
      <c r="G457" s="0" t="s">
        <v>2127</v>
      </c>
      <c r="H457" s="0" t="s">
        <v>2126</v>
      </c>
    </row>
    <row r="458" customFormat="false" ht="14.65" hidden="false" customHeight="false" outlineLevel="0" collapsed="false">
      <c r="A458" s="43" t="s">
        <v>1175</v>
      </c>
      <c r="B458" s="44" t="s">
        <v>2128</v>
      </c>
      <c r="C458" s="45" t="s">
        <v>2129</v>
      </c>
      <c r="F458" s="0" t="str">
        <f aca="false">_xlfn.CONCAT(G458,H458)</f>
        <v>CSCE2035INTROD A LA TEORIA DE NUMEROS</v>
      </c>
      <c r="G458" s="0" t="s">
        <v>2130</v>
      </c>
      <c r="H458" s="0" t="s">
        <v>2129</v>
      </c>
    </row>
    <row r="459" customFormat="false" ht="14.65" hidden="false" customHeight="false" outlineLevel="0" collapsed="false">
      <c r="A459" s="43" t="s">
        <v>1175</v>
      </c>
      <c r="B459" s="44" t="s">
        <v>2131</v>
      </c>
      <c r="C459" s="45" t="s">
        <v>2132</v>
      </c>
      <c r="F459" s="0" t="str">
        <f aca="false">_xlfn.CONCAT(G459,H459)</f>
        <v>CSCE2036EVALUACION MATEMATICA</v>
      </c>
      <c r="G459" s="0" t="s">
        <v>2133</v>
      </c>
      <c r="H459" s="0" t="s">
        <v>2132</v>
      </c>
    </row>
    <row r="460" customFormat="false" ht="14.65" hidden="false" customHeight="false" outlineLevel="0" collapsed="false">
      <c r="A460" s="43" t="s">
        <v>1175</v>
      </c>
      <c r="B460" s="44" t="s">
        <v>2134</v>
      </c>
      <c r="C460" s="45" t="s">
        <v>2135</v>
      </c>
      <c r="F460" s="0" t="str">
        <f aca="false">_xlfn.CONCAT(G460,H460)</f>
        <v>CSCE2037INSTRUMENTOS INVESTIGAC Y EVAL</v>
      </c>
      <c r="G460" s="0" t="s">
        <v>2136</v>
      </c>
      <c r="H460" s="0" t="s">
        <v>2135</v>
      </c>
    </row>
    <row r="461" customFormat="false" ht="14.65" hidden="false" customHeight="false" outlineLevel="0" collapsed="false">
      <c r="A461" s="43" t="s">
        <v>1175</v>
      </c>
      <c r="B461" s="44" t="s">
        <v>2137</v>
      </c>
      <c r="C461" s="45" t="s">
        <v>2138</v>
      </c>
      <c r="F461" s="0" t="str">
        <f aca="false">_xlfn.CONCAT(G461,H461)</f>
        <v>CSCE2038TOPOLOGIA ELEMENTAL</v>
      </c>
      <c r="G461" s="0" t="s">
        <v>2139</v>
      </c>
      <c r="H461" s="0" t="s">
        <v>2138</v>
      </c>
    </row>
    <row r="462" customFormat="false" ht="14.65" hidden="false" customHeight="false" outlineLevel="0" collapsed="false">
      <c r="A462" s="43" t="s">
        <v>1175</v>
      </c>
      <c r="B462" s="44" t="s">
        <v>2140</v>
      </c>
      <c r="C462" s="45" t="s">
        <v>2141</v>
      </c>
      <c r="F462" s="0" t="str">
        <f aca="false">_xlfn.CONCAT(G462,H462)</f>
        <v>CSCE2039METODOS NUMERICOS</v>
      </c>
      <c r="G462" s="0" t="s">
        <v>2142</v>
      </c>
      <c r="H462" s="0" t="s">
        <v>2141</v>
      </c>
    </row>
    <row r="463" customFormat="false" ht="14.65" hidden="false" customHeight="false" outlineLevel="0" collapsed="false">
      <c r="A463" s="43" t="s">
        <v>1175</v>
      </c>
      <c r="B463" s="44" t="s">
        <v>2143</v>
      </c>
      <c r="C463" s="45" t="s">
        <v>2144</v>
      </c>
      <c r="F463" s="0" t="str">
        <f aca="false">_xlfn.CONCAT(G463,H463)</f>
        <v>CSCE2040PLANIF ESTRATEG DE LA POLITICA</v>
      </c>
      <c r="G463" s="0" t="s">
        <v>2145</v>
      </c>
      <c r="H463" s="0" t="s">
        <v>2144</v>
      </c>
    </row>
    <row r="464" customFormat="false" ht="14.65" hidden="false" customHeight="false" outlineLevel="0" collapsed="false">
      <c r="A464" s="43" t="s">
        <v>1175</v>
      </c>
      <c r="B464" s="44" t="s">
        <v>1675</v>
      </c>
      <c r="C464" s="45" t="s">
        <v>2146</v>
      </c>
      <c r="F464" s="0" t="str">
        <f aca="false">_xlfn.CONCAT(G464,H464)</f>
        <v>CSCE2042SEMINARIO DE INVESTIGACION I</v>
      </c>
      <c r="G464" s="0" t="s">
        <v>2147</v>
      </c>
      <c r="H464" s="0" t="s">
        <v>2146</v>
      </c>
    </row>
    <row r="465" customFormat="false" ht="14.65" hidden="false" customHeight="false" outlineLevel="0" collapsed="false">
      <c r="A465" s="43" t="s">
        <v>1175</v>
      </c>
      <c r="B465" s="44" t="s">
        <v>2148</v>
      </c>
      <c r="C465" s="45" t="s">
        <v>2149</v>
      </c>
      <c r="F465" s="0" t="str">
        <f aca="false">_xlfn.CONCAT(G465,H465)</f>
        <v>CSCE2041DISENO OPER Y CONTROL PROCESO</v>
      </c>
      <c r="G465" s="0" t="s">
        <v>2150</v>
      </c>
      <c r="H465" s="0" t="s">
        <v>2149</v>
      </c>
    </row>
    <row r="466" customFormat="false" ht="14.65" hidden="false" customHeight="false" outlineLevel="0" collapsed="false">
      <c r="A466" s="43" t="s">
        <v>1175</v>
      </c>
      <c r="B466" s="44" t="s">
        <v>1677</v>
      </c>
      <c r="C466" s="45" t="s">
        <v>2151</v>
      </c>
      <c r="F466" s="0" t="str">
        <f aca="false">_xlfn.CONCAT(G466,H466)</f>
        <v>CSCE2043SEMINARIO DE INVESTIGACION II</v>
      </c>
      <c r="G466" s="0" t="s">
        <v>2152</v>
      </c>
      <c r="H466" s="0" t="s">
        <v>2151</v>
      </c>
    </row>
    <row r="467" customFormat="false" ht="14.65" hidden="false" customHeight="false" outlineLevel="0" collapsed="false">
      <c r="A467" s="43" t="s">
        <v>1175</v>
      </c>
      <c r="B467" s="44" t="s">
        <v>2153</v>
      </c>
      <c r="C467" s="45" t="s">
        <v>1233</v>
      </c>
      <c r="F467" s="0" t="str">
        <f aca="false">_xlfn.CONCAT(G467,H467)</f>
        <v>CSCE2090PROYECTO DE GRADUACION</v>
      </c>
      <c r="G467" s="0" t="s">
        <v>2154</v>
      </c>
      <c r="H467" s="0" t="s">
        <v>1233</v>
      </c>
    </row>
    <row r="468" customFormat="false" ht="14.65" hidden="false" customHeight="false" outlineLevel="0" collapsed="false">
      <c r="A468" s="43" t="s">
        <v>1175</v>
      </c>
      <c r="B468" s="44" t="s">
        <v>2155</v>
      </c>
      <c r="C468" s="45" t="s">
        <v>1236</v>
      </c>
      <c r="F468" s="0" t="str">
        <f aca="false">_xlfn.CONCAT(G468,H468)</f>
        <v>CSCE2091TESIS DE GRADO</v>
      </c>
      <c r="G468" s="0" t="s">
        <v>2156</v>
      </c>
      <c r="H468" s="0" t="s">
        <v>1236</v>
      </c>
    </row>
    <row r="469" customFormat="false" ht="14.65" hidden="false" customHeight="false" outlineLevel="0" collapsed="false">
      <c r="A469" s="43" t="s">
        <v>1175</v>
      </c>
      <c r="B469" s="44" t="s">
        <v>2157</v>
      </c>
      <c r="C469" s="45" t="s">
        <v>2158</v>
      </c>
      <c r="F469" s="0" t="str">
        <f aca="false">_xlfn.CONCAT(G469,H469)</f>
        <v>CSCE2092PRUEBA GRADO 1 EST.SOCIALES</v>
      </c>
      <c r="G469" s="0" t="s">
        <v>2159</v>
      </c>
      <c r="H469" s="0" t="s">
        <v>2158</v>
      </c>
    </row>
    <row r="470" customFormat="false" ht="14.65" hidden="false" customHeight="false" outlineLevel="0" collapsed="false">
      <c r="A470" s="43" t="s">
        <v>1175</v>
      </c>
      <c r="B470" s="44" t="s">
        <v>1708</v>
      </c>
      <c r="C470" s="45" t="s">
        <v>2160</v>
      </c>
      <c r="F470" s="0" t="str">
        <f aca="false">_xlfn.CONCAT(G470,H470)</f>
        <v>CSCE2028INVESTIGACION EDUCATIVA</v>
      </c>
      <c r="G470" s="0" t="s">
        <v>2161</v>
      </c>
      <c r="H470" s="0" t="s">
        <v>2160</v>
      </c>
    </row>
    <row r="471" customFormat="false" ht="14.65" hidden="false" customHeight="false" outlineLevel="0" collapsed="false">
      <c r="A471" s="43" t="s">
        <v>1175</v>
      </c>
      <c r="B471" s="44" t="s">
        <v>1714</v>
      </c>
      <c r="C471" s="45" t="s">
        <v>2162</v>
      </c>
      <c r="F471" s="0" t="str">
        <f aca="false">_xlfn.CONCAT(G471,H471)</f>
        <v>CSCE2030REALIDAD SOCIEDAD COSTARRICEN</v>
      </c>
      <c r="G471" s="0" t="s">
        <v>2163</v>
      </c>
      <c r="H471" s="0" t="s">
        <v>2162</v>
      </c>
    </row>
    <row r="472" customFormat="false" ht="14.65" hidden="false" customHeight="false" outlineLevel="0" collapsed="false">
      <c r="A472" s="43" t="s">
        <v>1175</v>
      </c>
      <c r="B472" s="44" t="s">
        <v>2164</v>
      </c>
      <c r="C472" s="45" t="s">
        <v>2165</v>
      </c>
      <c r="F472" s="0" t="str">
        <f aca="false">_xlfn.CONCAT(G472,H472)</f>
        <v>CSCE2033TENDENCIAS CONTEMPORANEAS EDUC</v>
      </c>
      <c r="G472" s="0" t="s">
        <v>2166</v>
      </c>
      <c r="H472" s="0" t="s">
        <v>2165</v>
      </c>
    </row>
    <row r="473" customFormat="false" ht="14.65" hidden="false" customHeight="false" outlineLevel="0" collapsed="false">
      <c r="A473" s="43" t="s">
        <v>1175</v>
      </c>
      <c r="B473" s="44" t="s">
        <v>1720</v>
      </c>
      <c r="C473" s="45" t="s">
        <v>2167</v>
      </c>
      <c r="F473" s="0" t="str">
        <f aca="false">_xlfn.CONCAT(G473,H473)</f>
        <v>CSCE2025COSTA RICA EDUCACION GLOBALIZ</v>
      </c>
      <c r="G473" s="0" t="s">
        <v>2168</v>
      </c>
      <c r="H473" s="0" t="s">
        <v>2167</v>
      </c>
    </row>
    <row r="474" customFormat="false" ht="14.65" hidden="false" customHeight="false" outlineLevel="0" collapsed="false">
      <c r="A474" s="43" t="s">
        <v>1175</v>
      </c>
      <c r="B474" s="44" t="s">
        <v>1731</v>
      </c>
      <c r="C474" s="45" t="s">
        <v>2169</v>
      </c>
      <c r="F474" s="0" t="str">
        <f aca="false">_xlfn.CONCAT(G474,H474)</f>
        <v>CSCE2029RASGOS SOCIOL Y FILOSOF DE LA</v>
      </c>
      <c r="G474" s="0" t="s">
        <v>2170</v>
      </c>
      <c r="H474" s="0" t="s">
        <v>2169</v>
      </c>
    </row>
    <row r="475" customFormat="false" ht="14.65" hidden="false" customHeight="false" outlineLevel="0" collapsed="false">
      <c r="A475" s="43" t="s">
        <v>1175</v>
      </c>
      <c r="B475" s="44" t="s">
        <v>1705</v>
      </c>
      <c r="C475" s="45" t="s">
        <v>2171</v>
      </c>
      <c r="F475" s="0" t="str">
        <f aca="false">_xlfn.CONCAT(G475,H475)</f>
        <v>CSCE2027INFLUENCIA TECNOLOGIAS EN EDUC</v>
      </c>
      <c r="G475" s="0" t="s">
        <v>2172</v>
      </c>
      <c r="H475" s="0" t="s">
        <v>2171</v>
      </c>
    </row>
    <row r="476" customFormat="false" ht="14.65" hidden="false" customHeight="false" outlineLevel="0" collapsed="false">
      <c r="A476" s="43" t="s">
        <v>1175</v>
      </c>
      <c r="B476" s="44" t="s">
        <v>1728</v>
      </c>
      <c r="C476" s="45" t="s">
        <v>2173</v>
      </c>
      <c r="F476" s="0" t="str">
        <f aca="false">_xlfn.CONCAT(G476,H476)</f>
        <v>CSCE2026DEBATES EN EDUCACION</v>
      </c>
      <c r="G476" s="0" t="s">
        <v>2174</v>
      </c>
      <c r="H476" s="0" t="s">
        <v>2173</v>
      </c>
    </row>
    <row r="477" customFormat="false" ht="14.65" hidden="false" customHeight="false" outlineLevel="0" collapsed="false">
      <c r="A477" s="43" t="s">
        <v>1175</v>
      </c>
      <c r="B477" s="44" t="s">
        <v>1734</v>
      </c>
      <c r="C477" s="45" t="s">
        <v>2175</v>
      </c>
      <c r="F477" s="0" t="str">
        <f aca="false">_xlfn.CONCAT(G477,H477)</f>
        <v>CSCE2032TALLER INVESTIGAC Y PRODUCC ES</v>
      </c>
      <c r="G477" s="0" t="s">
        <v>2176</v>
      </c>
      <c r="H477" s="0" t="s">
        <v>2175</v>
      </c>
    </row>
    <row r="478" customFormat="false" ht="14.65" hidden="false" customHeight="false" outlineLevel="0" collapsed="false">
      <c r="A478" s="43" t="s">
        <v>1175</v>
      </c>
      <c r="B478" s="44" t="s">
        <v>1726</v>
      </c>
      <c r="C478" s="45" t="s">
        <v>1227</v>
      </c>
      <c r="F478" s="0" t="str">
        <f aca="false">_xlfn.CONCAT(G478,H478)</f>
        <v>CSCE2031SEMINARIO DE GRADUACION</v>
      </c>
      <c r="G478" s="0" t="s">
        <v>2177</v>
      </c>
      <c r="H478" s="0" t="s">
        <v>1227</v>
      </c>
    </row>
    <row r="479" customFormat="false" ht="14.65" hidden="false" customHeight="false" outlineLevel="0" collapsed="false">
      <c r="A479" s="43" t="s">
        <v>1175</v>
      </c>
      <c r="B479" s="44" t="s">
        <v>2178</v>
      </c>
      <c r="C479" s="45" t="s">
        <v>2179</v>
      </c>
      <c r="F479" s="0" t="str">
        <f aca="false">_xlfn.CONCAT(G479,H479)</f>
        <v>CSCE2044COMUNIC IDEOLOG Y PROGRESO TEC</v>
      </c>
      <c r="G479" s="0" t="s">
        <v>2180</v>
      </c>
      <c r="H479" s="0" t="s">
        <v>2179</v>
      </c>
    </row>
    <row r="480" customFormat="false" ht="14.65" hidden="false" customHeight="false" outlineLevel="0" collapsed="false">
      <c r="A480" s="43" t="s">
        <v>1175</v>
      </c>
      <c r="B480" s="44" t="s">
        <v>1716</v>
      </c>
      <c r="C480" s="45" t="s">
        <v>2181</v>
      </c>
      <c r="F480" s="0" t="str">
        <f aca="false">_xlfn.CONCAT(G480,H480)</f>
        <v>CSCE2045GRAMATICA COMO PROC DE PRODUC</v>
      </c>
      <c r="G480" s="0" t="s">
        <v>2182</v>
      </c>
      <c r="H480" s="0" t="s">
        <v>2181</v>
      </c>
    </row>
    <row r="481" customFormat="false" ht="14.65" hidden="false" customHeight="false" outlineLevel="0" collapsed="false">
      <c r="A481" s="43" t="s">
        <v>1175</v>
      </c>
      <c r="B481" s="44" t="s">
        <v>1718</v>
      </c>
      <c r="C481" s="45" t="s">
        <v>2183</v>
      </c>
      <c r="F481" s="0" t="str">
        <f aca="false">_xlfn.CONCAT(G481,H481)</f>
        <v>CSCE2046LITERATURA COMPARADA</v>
      </c>
      <c r="G481" s="0" t="s">
        <v>2184</v>
      </c>
      <c r="H481" s="0" t="s">
        <v>2183</v>
      </c>
    </row>
    <row r="482" customFormat="false" ht="14.65" hidden="false" customHeight="false" outlineLevel="0" collapsed="false">
      <c r="A482" s="43" t="s">
        <v>1175</v>
      </c>
      <c r="B482" s="44" t="s">
        <v>1737</v>
      </c>
      <c r="C482" s="45" t="s">
        <v>2185</v>
      </c>
      <c r="F482" s="0" t="str">
        <f aca="false">_xlfn.CONCAT(G482,H482)</f>
        <v>CSCE2047PROCESOS INVESTIG LINGUISTICA</v>
      </c>
      <c r="G482" s="0" t="s">
        <v>2186</v>
      </c>
      <c r="H482" s="0" t="s">
        <v>2185</v>
      </c>
    </row>
    <row r="483" customFormat="false" ht="14.65" hidden="false" customHeight="false" outlineLevel="0" collapsed="false">
      <c r="A483" s="43" t="s">
        <v>1175</v>
      </c>
      <c r="B483" s="44" t="s">
        <v>1739</v>
      </c>
      <c r="C483" s="45" t="s">
        <v>2187</v>
      </c>
      <c r="F483" s="0" t="str">
        <f aca="false">_xlfn.CONCAT(G483,H483)</f>
        <v>CSCE2048TECNOLOGIA EDUCATIVA</v>
      </c>
      <c r="G483" s="0" t="s">
        <v>2188</v>
      </c>
      <c r="H483" s="0" t="s">
        <v>2187</v>
      </c>
    </row>
    <row r="484" customFormat="false" ht="14.65" hidden="false" customHeight="false" outlineLevel="0" collapsed="false">
      <c r="A484" s="43" t="s">
        <v>1175</v>
      </c>
      <c r="B484" s="44" t="s">
        <v>1768</v>
      </c>
      <c r="C484" s="45" t="s">
        <v>2189</v>
      </c>
      <c r="F484" s="0" t="str">
        <f aca="false">_xlfn.CONCAT(G484,H484)</f>
        <v>CSCE2049MEDIAC PEDAG Y CONST CONOCIM</v>
      </c>
      <c r="G484" s="0" t="s">
        <v>2190</v>
      </c>
      <c r="H484" s="0" t="s">
        <v>2189</v>
      </c>
    </row>
    <row r="485" customFormat="false" ht="14.65" hidden="false" customHeight="false" outlineLevel="0" collapsed="false">
      <c r="A485" s="43" t="s">
        <v>1175</v>
      </c>
      <c r="B485" s="44" t="s">
        <v>1770</v>
      </c>
      <c r="C485" s="45" t="s">
        <v>2191</v>
      </c>
      <c r="F485" s="0" t="str">
        <f aca="false">_xlfn.CONCAT(G485,H485)</f>
        <v>CSCE2050TALLER EVAL CUAL Y CUANT DE AP</v>
      </c>
      <c r="G485" s="0" t="s">
        <v>2192</v>
      </c>
      <c r="H485" s="0" t="s">
        <v>2191</v>
      </c>
    </row>
    <row r="486" customFormat="false" ht="14.65" hidden="false" customHeight="false" outlineLevel="0" collapsed="false">
      <c r="A486" s="43" t="s">
        <v>1175</v>
      </c>
      <c r="B486" s="44" t="s">
        <v>1741</v>
      </c>
      <c r="C486" s="45" t="s">
        <v>2193</v>
      </c>
      <c r="F486" s="0" t="str">
        <f aca="false">_xlfn.CONCAT(G486,H486)</f>
        <v>CSCE2051SEMIN EVOLUCION POLIT PARA ENS</v>
      </c>
      <c r="G486" s="0" t="s">
        <v>2194</v>
      </c>
      <c r="H486" s="0" t="s">
        <v>2193</v>
      </c>
    </row>
    <row r="487" customFormat="false" ht="14.65" hidden="false" customHeight="false" outlineLevel="0" collapsed="false">
      <c r="A487" s="43" t="s">
        <v>1175</v>
      </c>
      <c r="B487" s="44" t="s">
        <v>1744</v>
      </c>
      <c r="C487" s="45" t="s">
        <v>981</v>
      </c>
      <c r="F487" s="0" t="str">
        <f aca="false">_xlfn.CONCAT(G487,H487)</f>
        <v>CSCE2052SEMINARIO DE GRADUACIÓN I</v>
      </c>
      <c r="G487" s="0" t="s">
        <v>2195</v>
      </c>
      <c r="H487" s="0" t="s">
        <v>981</v>
      </c>
    </row>
    <row r="488" customFormat="false" ht="14.65" hidden="false" customHeight="false" outlineLevel="0" collapsed="false">
      <c r="A488" s="43" t="s">
        <v>1175</v>
      </c>
      <c r="B488" s="44" t="s">
        <v>1747</v>
      </c>
      <c r="C488" s="45" t="s">
        <v>983</v>
      </c>
      <c r="F488" s="0" t="str">
        <f aca="false">_xlfn.CONCAT(G488,H488)</f>
        <v>CSCE2053SEMINARIO DE GRADUACIÓN II</v>
      </c>
      <c r="G488" s="0" t="s">
        <v>2196</v>
      </c>
      <c r="H488" s="0" t="s">
        <v>983</v>
      </c>
    </row>
    <row r="489" customFormat="false" ht="14.65" hidden="false" customHeight="false" outlineLevel="0" collapsed="false">
      <c r="A489" s="43" t="s">
        <v>1175</v>
      </c>
      <c r="B489" s="44" t="s">
        <v>1753</v>
      </c>
      <c r="C489" s="45" t="s">
        <v>1772</v>
      </c>
      <c r="F489" s="0" t="str">
        <f aca="false">_xlfn.CONCAT(G489,H489)</f>
        <v>CSCE2055TEORIA DE LA EDUCACION</v>
      </c>
      <c r="G489" s="0" t="s">
        <v>2197</v>
      </c>
      <c r="H489" s="0" t="s">
        <v>1772</v>
      </c>
    </row>
    <row r="490" customFormat="false" ht="14.65" hidden="false" customHeight="false" outlineLevel="0" collapsed="false">
      <c r="A490" s="43" t="s">
        <v>1175</v>
      </c>
      <c r="B490" s="44" t="s">
        <v>1756</v>
      </c>
      <c r="C490" s="45" t="s">
        <v>2198</v>
      </c>
      <c r="F490" s="0" t="str">
        <f aca="false">_xlfn.CONCAT(G490,H490)</f>
        <v>CSCE2056BOTANICA GENERAL</v>
      </c>
      <c r="G490" s="0" t="s">
        <v>2199</v>
      </c>
      <c r="H490" s="0" t="s">
        <v>2198</v>
      </c>
    </row>
    <row r="491" customFormat="false" ht="14.65" hidden="false" customHeight="false" outlineLevel="0" collapsed="false">
      <c r="A491" s="43" t="s">
        <v>1175</v>
      </c>
      <c r="B491" s="44" t="s">
        <v>1759</v>
      </c>
      <c r="C491" s="45" t="s">
        <v>2200</v>
      </c>
      <c r="F491" s="0" t="str">
        <f aca="false">_xlfn.CONCAT(G491,H491)</f>
        <v>CSCE2057ZOOLOGIA GENERAL</v>
      </c>
      <c r="G491" s="0" t="s">
        <v>2201</v>
      </c>
      <c r="H491" s="0" t="s">
        <v>2200</v>
      </c>
    </row>
    <row r="492" customFormat="false" ht="14.65" hidden="false" customHeight="false" outlineLevel="0" collapsed="false">
      <c r="A492" s="43" t="s">
        <v>1175</v>
      </c>
      <c r="B492" s="44" t="s">
        <v>1762</v>
      </c>
      <c r="C492" s="45" t="s">
        <v>2202</v>
      </c>
      <c r="F492" s="0" t="str">
        <f aca="false">_xlfn.CONCAT(G492,H492)</f>
        <v>CSCE2058METODOS DE INVESTIGACION CIENT</v>
      </c>
      <c r="G492" s="0" t="s">
        <v>2203</v>
      </c>
      <c r="H492" s="0" t="s">
        <v>2202</v>
      </c>
    </row>
    <row r="493" customFormat="false" ht="14.65" hidden="false" customHeight="false" outlineLevel="0" collapsed="false">
      <c r="A493" s="43" t="s">
        <v>1175</v>
      </c>
      <c r="B493" s="44" t="s">
        <v>1765</v>
      </c>
      <c r="C493" s="45" t="s">
        <v>2204</v>
      </c>
      <c r="F493" s="0" t="str">
        <f aca="false">_xlfn.CONCAT(G493,H493)</f>
        <v>CSCE2059ENSENANZA INTEGRAL DE LA CIENC</v>
      </c>
      <c r="G493" s="0" t="s">
        <v>2205</v>
      </c>
      <c r="H493" s="0" t="s">
        <v>2204</v>
      </c>
    </row>
    <row r="494" customFormat="false" ht="14.65" hidden="false" customHeight="false" outlineLevel="0" collapsed="false">
      <c r="A494" s="43" t="s">
        <v>1175</v>
      </c>
      <c r="B494" s="44" t="s">
        <v>2206</v>
      </c>
      <c r="C494" s="45" t="s">
        <v>2207</v>
      </c>
      <c r="F494" s="0" t="str">
        <f aca="false">_xlfn.CONCAT(G494,H494)</f>
        <v>CSCE2060NUEVOS METODOS ENSEN APRENDIZ</v>
      </c>
      <c r="G494" s="0" t="s">
        <v>2208</v>
      </c>
      <c r="H494" s="0" t="s">
        <v>2207</v>
      </c>
    </row>
    <row r="495" customFormat="false" ht="14.65" hidden="false" customHeight="false" outlineLevel="0" collapsed="false">
      <c r="A495" s="43" t="s">
        <v>1175</v>
      </c>
      <c r="B495" s="44" t="s">
        <v>2209</v>
      </c>
      <c r="C495" s="45" t="s">
        <v>2210</v>
      </c>
      <c r="F495" s="0" t="str">
        <f aca="false">_xlfn.CONCAT(G495,H495)</f>
        <v>CSCE2061EVOLUCION BIOLOGICA</v>
      </c>
      <c r="G495" s="0" t="s">
        <v>2211</v>
      </c>
      <c r="H495" s="0" t="s">
        <v>2210</v>
      </c>
    </row>
    <row r="496" customFormat="false" ht="14.65" hidden="false" customHeight="false" outlineLevel="0" collapsed="false">
      <c r="A496" s="43" t="s">
        <v>1175</v>
      </c>
      <c r="B496" s="44" t="s">
        <v>1223</v>
      </c>
      <c r="C496" s="45" t="s">
        <v>2212</v>
      </c>
      <c r="F496" s="0" t="str">
        <f aca="false">_xlfn.CONCAT(G496,H496)</f>
        <v>CSCE2014EDUCACION AMBIENTAL</v>
      </c>
      <c r="G496" s="0" t="s">
        <v>2213</v>
      </c>
      <c r="H496" s="0" t="s">
        <v>2212</v>
      </c>
    </row>
    <row r="497" customFormat="false" ht="14.65" hidden="false" customHeight="false" outlineLevel="0" collapsed="false">
      <c r="A497" s="43" t="s">
        <v>1258</v>
      </c>
      <c r="B497" s="44" t="s">
        <v>1087</v>
      </c>
      <c r="C497" s="45" t="s">
        <v>2214</v>
      </c>
      <c r="F497" s="0" t="str">
        <f aca="false">_xlfn.CONCAT(G497,H497)</f>
        <v>CSID0006COMUNICACION ORAL I</v>
      </c>
      <c r="G497" s="0" t="s">
        <v>2215</v>
      </c>
      <c r="H497" s="0" t="s">
        <v>2214</v>
      </c>
    </row>
    <row r="498" customFormat="false" ht="14.65" hidden="false" customHeight="false" outlineLevel="0" collapsed="false">
      <c r="A498" s="43" t="s">
        <v>1258</v>
      </c>
      <c r="B498" s="44" t="s">
        <v>1485</v>
      </c>
      <c r="C498" s="45" t="s">
        <v>2216</v>
      </c>
      <c r="F498" s="0" t="str">
        <f aca="false">_xlfn.CONCAT(G498,H498)</f>
        <v>CSID0038PRONUNCIACION ORAL I</v>
      </c>
      <c r="G498" s="0" t="s">
        <v>2217</v>
      </c>
      <c r="H498" s="0" t="s">
        <v>2216</v>
      </c>
    </row>
    <row r="499" customFormat="false" ht="14.65" hidden="false" customHeight="false" outlineLevel="0" collapsed="false">
      <c r="A499" s="43" t="s">
        <v>1258</v>
      </c>
      <c r="B499" s="44" t="s">
        <v>1639</v>
      </c>
      <c r="C499" s="45" t="s">
        <v>2218</v>
      </c>
      <c r="F499" s="0" t="str">
        <f aca="false">_xlfn.CONCAT(G499,H499)</f>
        <v>CSID0044SINTAXIS Y COMUNICAC ESCRITA I</v>
      </c>
      <c r="G499" s="0" t="s">
        <v>2219</v>
      </c>
      <c r="H499" s="0" t="s">
        <v>2218</v>
      </c>
    </row>
    <row r="500" customFormat="false" ht="14.65" hidden="false" customHeight="false" outlineLevel="0" collapsed="false">
      <c r="A500" s="43" t="s">
        <v>1258</v>
      </c>
      <c r="B500" s="44" t="s">
        <v>1090</v>
      </c>
      <c r="C500" s="45" t="s">
        <v>2220</v>
      </c>
      <c r="F500" s="0" t="str">
        <f aca="false">_xlfn.CONCAT(G500,H500)</f>
        <v>CSID0007COMUNICACION ORAL II</v>
      </c>
      <c r="G500" s="0" t="s">
        <v>2221</v>
      </c>
      <c r="H500" s="0" t="s">
        <v>2220</v>
      </c>
    </row>
    <row r="501" customFormat="false" ht="14.65" hidden="false" customHeight="false" outlineLevel="0" collapsed="false">
      <c r="A501" s="43" t="s">
        <v>1258</v>
      </c>
      <c r="B501" s="44" t="s">
        <v>1488</v>
      </c>
      <c r="C501" s="45" t="s">
        <v>2222</v>
      </c>
      <c r="F501" s="0" t="str">
        <f aca="false">_xlfn.CONCAT(G501,H501)</f>
        <v>CSID0039PRONUNCIACION ORAL II</v>
      </c>
      <c r="G501" s="0" t="s">
        <v>2223</v>
      </c>
      <c r="H501" s="0" t="s">
        <v>2222</v>
      </c>
    </row>
    <row r="502" customFormat="false" ht="14.65" hidden="false" customHeight="false" outlineLevel="0" collapsed="false">
      <c r="A502" s="43" t="s">
        <v>1258</v>
      </c>
      <c r="B502" s="44" t="s">
        <v>1630</v>
      </c>
      <c r="C502" s="45" t="s">
        <v>2224</v>
      </c>
      <c r="F502" s="0" t="str">
        <f aca="false">_xlfn.CONCAT(G502,H502)</f>
        <v>CSID0045SINTAXIS Y COMUNICAC ESCRIT II</v>
      </c>
      <c r="G502" s="0" t="s">
        <v>2225</v>
      </c>
      <c r="H502" s="0" t="s">
        <v>2224</v>
      </c>
    </row>
    <row r="503" customFormat="false" ht="14.65" hidden="false" customHeight="false" outlineLevel="0" collapsed="false">
      <c r="A503" s="43" t="s">
        <v>1258</v>
      </c>
      <c r="B503" s="44" t="s">
        <v>1589</v>
      </c>
      <c r="C503" s="45" t="s">
        <v>2226</v>
      </c>
      <c r="F503" s="0" t="str">
        <f aca="false">_xlfn.CONCAT(G503,H503)</f>
        <v>CSID0051TECNICAS DE LECTURA II</v>
      </c>
      <c r="G503" s="0" t="s">
        <v>2227</v>
      </c>
      <c r="H503" s="0" t="s">
        <v>2226</v>
      </c>
    </row>
    <row r="504" customFormat="false" ht="14.65" hidden="false" customHeight="false" outlineLevel="0" collapsed="false">
      <c r="A504" s="43" t="s">
        <v>1175</v>
      </c>
      <c r="B504" s="44" t="s">
        <v>1084</v>
      </c>
      <c r="C504" s="45" t="s">
        <v>2228</v>
      </c>
      <c r="F504" s="0" t="str">
        <f aca="false">_xlfn.CONCAT(G504,H504)</f>
        <v>CSCE0005FUND HIST Y FILOSOF EDUC COST</v>
      </c>
      <c r="G504" s="0" t="s">
        <v>2229</v>
      </c>
      <c r="H504" s="0" t="s">
        <v>2228</v>
      </c>
    </row>
    <row r="505" customFormat="false" ht="14.65" hidden="false" customHeight="false" outlineLevel="0" collapsed="false">
      <c r="A505" s="43" t="s">
        <v>1258</v>
      </c>
      <c r="B505" s="44" t="s">
        <v>1102</v>
      </c>
      <c r="C505" s="45" t="s">
        <v>2230</v>
      </c>
      <c r="F505" s="0" t="str">
        <f aca="false">_xlfn.CONCAT(G505,H505)</f>
        <v>CSID0011COMUNICAC ORAL Y PRONUNC III</v>
      </c>
      <c r="G505" s="0" t="s">
        <v>2231</v>
      </c>
      <c r="H505" s="0" t="s">
        <v>2230</v>
      </c>
    </row>
    <row r="506" customFormat="false" ht="14.65" hidden="false" customHeight="false" outlineLevel="0" collapsed="false">
      <c r="A506" s="43" t="s">
        <v>1258</v>
      </c>
      <c r="B506" s="44" t="s">
        <v>1634</v>
      </c>
      <c r="C506" s="45" t="s">
        <v>2232</v>
      </c>
      <c r="F506" s="0" t="str">
        <f aca="false">_xlfn.CONCAT(G506,H506)</f>
        <v>CSID0046SINTAXIS Y COMUNIC ESCRITA III</v>
      </c>
      <c r="G506" s="0" t="s">
        <v>2233</v>
      </c>
      <c r="H506" s="0" t="s">
        <v>2232</v>
      </c>
    </row>
    <row r="507" customFormat="false" ht="14.65" hidden="false" customHeight="false" outlineLevel="0" collapsed="false">
      <c r="A507" s="43" t="s">
        <v>1258</v>
      </c>
      <c r="B507" s="44" t="s">
        <v>1135</v>
      </c>
      <c r="C507" s="45" t="s">
        <v>2234</v>
      </c>
      <c r="F507" s="0" t="str">
        <f aca="false">_xlfn.CONCAT(G507,H507)</f>
        <v>CSID0023INTRODUCCION A LA LITERATURA</v>
      </c>
      <c r="G507" s="0" t="s">
        <v>2235</v>
      </c>
      <c r="H507" s="0" t="s">
        <v>2234</v>
      </c>
    </row>
    <row r="508" customFormat="false" ht="14.65" hidden="false" customHeight="false" outlineLevel="0" collapsed="false">
      <c r="A508" s="43" t="s">
        <v>1175</v>
      </c>
      <c r="B508" s="44" t="s">
        <v>1075</v>
      </c>
      <c r="C508" s="45" t="s">
        <v>2236</v>
      </c>
      <c r="F508" s="0" t="str">
        <f aca="false">_xlfn.CONCAT(G508,H508)</f>
        <v>CSCE0001ADOLESCENCIA Y EDUCACION</v>
      </c>
      <c r="G508" s="0" t="s">
        <v>2237</v>
      </c>
      <c r="H508" s="0" t="s">
        <v>2236</v>
      </c>
    </row>
    <row r="509" customFormat="false" ht="14.65" hidden="false" customHeight="false" outlineLevel="0" collapsed="false">
      <c r="A509" s="43" t="s">
        <v>1258</v>
      </c>
      <c r="B509" s="44" t="s">
        <v>1105</v>
      </c>
      <c r="C509" s="45" t="s">
        <v>2238</v>
      </c>
      <c r="F509" s="0" t="str">
        <f aca="false">_xlfn.CONCAT(G509,H509)</f>
        <v>CSID0012COMUNICACION ORAL Y PRONUNC IV</v>
      </c>
      <c r="G509" s="0" t="s">
        <v>2239</v>
      </c>
      <c r="H509" s="0" t="s">
        <v>2238</v>
      </c>
    </row>
    <row r="510" customFormat="false" ht="14.65" hidden="false" customHeight="false" outlineLevel="0" collapsed="false">
      <c r="A510" s="43" t="s">
        <v>1258</v>
      </c>
      <c r="B510" s="44" t="s">
        <v>1531</v>
      </c>
      <c r="C510" s="45" t="s">
        <v>2240</v>
      </c>
      <c r="F510" s="0" t="str">
        <f aca="false">_xlfn.CONCAT(G510,H510)</f>
        <v>CSID0047SINTAXIS Y COMUNIC ESCRITA IV</v>
      </c>
      <c r="G510" s="0" t="s">
        <v>2241</v>
      </c>
      <c r="H510" s="0" t="s">
        <v>2240</v>
      </c>
    </row>
    <row r="511" customFormat="false" ht="14.65" hidden="false" customHeight="false" outlineLevel="0" collapsed="false">
      <c r="A511" s="43" t="s">
        <v>1258</v>
      </c>
      <c r="B511" s="44" t="s">
        <v>1168</v>
      </c>
      <c r="C511" s="45" t="s">
        <v>2242</v>
      </c>
      <c r="F511" s="0" t="str">
        <f aca="false">_xlfn.CONCAT(G511,H511)</f>
        <v>CSID0024INTRODUCCION A LA NARRATIVA</v>
      </c>
      <c r="G511" s="0" t="s">
        <v>2243</v>
      </c>
      <c r="H511" s="0" t="s">
        <v>2242</v>
      </c>
    </row>
    <row r="512" customFormat="false" ht="14.65" hidden="false" customHeight="false" outlineLevel="0" collapsed="false">
      <c r="A512" s="43" t="s">
        <v>1175</v>
      </c>
      <c r="B512" s="44" t="s">
        <v>1496</v>
      </c>
      <c r="C512" s="45" t="s">
        <v>2244</v>
      </c>
      <c r="F512" s="0" t="str">
        <f aca="false">_xlfn.CONCAT(G512,H512)</f>
        <v>CSCE0055PSICOLOGIA EDUCATIVA</v>
      </c>
      <c r="G512" s="0" t="s">
        <v>2245</v>
      </c>
      <c r="H512" s="0" t="s">
        <v>2244</v>
      </c>
    </row>
    <row r="513" customFormat="false" ht="14.65" hidden="false" customHeight="false" outlineLevel="0" collapsed="false">
      <c r="A513" s="43" t="s">
        <v>1258</v>
      </c>
      <c r="B513" s="44" t="s">
        <v>1594</v>
      </c>
      <c r="C513" s="45" t="s">
        <v>2246</v>
      </c>
      <c r="F513" s="0" t="str">
        <f aca="false">_xlfn.CONCAT(G513,H513)</f>
        <v>CSID0052TECNIC DE LECTU Y COMUN ORAL V</v>
      </c>
      <c r="G513" s="0" t="s">
        <v>2247</v>
      </c>
      <c r="H513" s="0" t="s">
        <v>2246</v>
      </c>
    </row>
    <row r="514" customFormat="false" ht="14.65" hidden="false" customHeight="false" outlineLevel="0" collapsed="false">
      <c r="A514" s="43" t="s">
        <v>1258</v>
      </c>
      <c r="B514" s="44" t="s">
        <v>1147</v>
      </c>
      <c r="C514" s="45" t="s">
        <v>2248</v>
      </c>
      <c r="F514" s="0" t="str">
        <f aca="false">_xlfn.CONCAT(G514,H514)</f>
        <v>CSID0027INTRODUCCION AL DRAMA</v>
      </c>
      <c r="G514" s="0" t="s">
        <v>2249</v>
      </c>
      <c r="H514" s="0" t="s">
        <v>2248</v>
      </c>
    </row>
    <row r="515" customFormat="false" ht="14.65" hidden="false" customHeight="false" outlineLevel="0" collapsed="false">
      <c r="A515" s="43" t="s">
        <v>1258</v>
      </c>
      <c r="B515" s="44" t="s">
        <v>1117</v>
      </c>
      <c r="C515" s="45" t="s">
        <v>2250</v>
      </c>
      <c r="F515" s="0" t="str">
        <f aca="false">_xlfn.CONCAT(G515,H515)</f>
        <v>CSID0016DIDACTICA DEL INGLES</v>
      </c>
      <c r="G515" s="0" t="s">
        <v>2251</v>
      </c>
      <c r="H515" s="0" t="s">
        <v>2250</v>
      </c>
    </row>
    <row r="516" customFormat="false" ht="14.65" hidden="false" customHeight="false" outlineLevel="0" collapsed="false">
      <c r="A516" s="43" t="s">
        <v>1175</v>
      </c>
      <c r="B516" s="44" t="s">
        <v>1093</v>
      </c>
      <c r="C516" s="45" t="s">
        <v>2252</v>
      </c>
      <c r="F516" s="0" t="str">
        <f aca="false">_xlfn.CONCAT(G516,H516)</f>
        <v>CSCE0008PRINCIPIOS DEL CURRICULUM</v>
      </c>
      <c r="G516" s="0" t="s">
        <v>2253</v>
      </c>
      <c r="H516" s="0" t="s">
        <v>2252</v>
      </c>
    </row>
    <row r="517" customFormat="false" ht="14.65" hidden="false" customHeight="false" outlineLevel="0" collapsed="false">
      <c r="A517" s="43" t="s">
        <v>1370</v>
      </c>
      <c r="B517" s="44" t="s">
        <v>1499</v>
      </c>
      <c r="C517" s="45" t="s">
        <v>2254</v>
      </c>
      <c r="F517" s="0" t="str">
        <f aca="false">_xlfn.CONCAT(G517,H517)</f>
        <v>INTI0058HERRAMIENTAS COMPUTACIONALES</v>
      </c>
      <c r="G517" s="0" t="s">
        <v>2255</v>
      </c>
      <c r="H517" s="0" t="s">
        <v>2254</v>
      </c>
    </row>
    <row r="518" customFormat="false" ht="14.65" hidden="false" customHeight="false" outlineLevel="0" collapsed="false">
      <c r="A518" s="43" t="s">
        <v>1258</v>
      </c>
      <c r="B518" s="44" t="s">
        <v>1120</v>
      </c>
      <c r="C518" s="45" t="s">
        <v>2256</v>
      </c>
      <c r="F518" s="0" t="str">
        <f aca="false">_xlfn.CONCAT(G518,H518)</f>
        <v>CSID0017ELOCUCION Y COMPOSICION I</v>
      </c>
      <c r="G518" s="0" t="s">
        <v>2257</v>
      </c>
      <c r="H518" s="0" t="s">
        <v>2256</v>
      </c>
    </row>
    <row r="519" customFormat="false" ht="14.65" hidden="false" customHeight="false" outlineLevel="0" collapsed="false">
      <c r="A519" s="43" t="s">
        <v>1258</v>
      </c>
      <c r="B519" s="44" t="s">
        <v>1144</v>
      </c>
      <c r="C519" s="45" t="s">
        <v>2258</v>
      </c>
      <c r="F519" s="0" t="str">
        <f aca="false">_xlfn.CONCAT(G519,H519)</f>
        <v>CSID0026INTRODUCCION A LA POESIA</v>
      </c>
      <c r="G519" s="0" t="s">
        <v>2259</v>
      </c>
      <c r="H519" s="0" t="s">
        <v>2258</v>
      </c>
    </row>
    <row r="520" customFormat="false" ht="14.65" hidden="false" customHeight="false" outlineLevel="0" collapsed="false">
      <c r="A520" s="43" t="s">
        <v>1258</v>
      </c>
      <c r="B520" s="44" t="s">
        <v>1123</v>
      </c>
      <c r="C520" s="45" t="s">
        <v>2260</v>
      </c>
      <c r="F520" s="0" t="str">
        <f aca="false">_xlfn.CONCAT(G520,H520)</f>
        <v>CSID0018ELOCUCION Y COMPOSICION II</v>
      </c>
      <c r="G520" s="0" t="s">
        <v>2261</v>
      </c>
      <c r="H520" s="0" t="s">
        <v>2260</v>
      </c>
    </row>
    <row r="521" customFormat="false" ht="14.65" hidden="false" customHeight="false" outlineLevel="0" collapsed="false">
      <c r="A521" s="43" t="s">
        <v>1258</v>
      </c>
      <c r="B521" s="44" t="s">
        <v>1141</v>
      </c>
      <c r="C521" s="45" t="s">
        <v>1919</v>
      </c>
      <c r="F521" s="0" t="str">
        <f aca="false">_xlfn.CONCAT(G521,H521)</f>
        <v>CSID0029MEDICION Y EVALUACION EDUCAT</v>
      </c>
      <c r="G521" s="0" t="s">
        <v>2262</v>
      </c>
      <c r="H521" s="0" t="s">
        <v>1919</v>
      </c>
    </row>
    <row r="522" customFormat="false" ht="14.65" hidden="false" customHeight="false" outlineLevel="0" collapsed="false">
      <c r="A522" s="43" t="s">
        <v>1258</v>
      </c>
      <c r="B522" s="44" t="s">
        <v>1150</v>
      </c>
      <c r="C522" s="45" t="s">
        <v>2263</v>
      </c>
      <c r="F522" s="0" t="str">
        <f aca="false">_xlfn.CONCAT(G522,H522)</f>
        <v>CSID0030METODOLOGIA ENSE  DEL INGLES</v>
      </c>
      <c r="G522" s="0" t="s">
        <v>2264</v>
      </c>
      <c r="H522" s="0" t="s">
        <v>2263</v>
      </c>
    </row>
    <row r="523" customFormat="false" ht="14.65" hidden="false" customHeight="false" outlineLevel="0" collapsed="false">
      <c r="A523" s="43" t="s">
        <v>1258</v>
      </c>
      <c r="B523" s="44" t="s">
        <v>1075</v>
      </c>
      <c r="C523" s="45" t="s">
        <v>2265</v>
      </c>
      <c r="F523" s="0" t="str">
        <f aca="false">_xlfn.CONCAT(G523,H523)</f>
        <v>CSID0001APLIC COMPUTAC ENSENANZA DEL I</v>
      </c>
      <c r="G523" s="0" t="s">
        <v>2266</v>
      </c>
      <c r="H523" s="0" t="s">
        <v>2265</v>
      </c>
    </row>
    <row r="524" customFormat="false" ht="14.65" hidden="false" customHeight="false" outlineLevel="0" collapsed="false">
      <c r="A524" s="43" t="s">
        <v>1258</v>
      </c>
      <c r="B524" s="44" t="s">
        <v>1108</v>
      </c>
      <c r="C524" s="45" t="s">
        <v>2267</v>
      </c>
      <c r="F524" s="0" t="str">
        <f aca="false">_xlfn.CONCAT(G524,H524)</f>
        <v>CSID0013CRITICA LITERARIA</v>
      </c>
      <c r="G524" s="0" t="s">
        <v>2268</v>
      </c>
      <c r="H524" s="0" t="s">
        <v>2267</v>
      </c>
    </row>
    <row r="525" customFormat="false" ht="14.65" hidden="false" customHeight="false" outlineLevel="0" collapsed="false">
      <c r="A525" s="43" t="s">
        <v>1258</v>
      </c>
      <c r="B525" s="44" t="s">
        <v>1603</v>
      </c>
      <c r="C525" s="45" t="s">
        <v>2269</v>
      </c>
      <c r="F525" s="0" t="str">
        <f aca="false">_xlfn.CONCAT(G525,H525)</f>
        <v>CSID0049TALLER MULTIM Y MATERIAL DIDAC</v>
      </c>
      <c r="G525" s="0" t="s">
        <v>2270</v>
      </c>
      <c r="H525" s="0" t="s">
        <v>2269</v>
      </c>
    </row>
    <row r="526" customFormat="false" ht="14.65" hidden="false" customHeight="false" outlineLevel="0" collapsed="false">
      <c r="A526" s="43" t="s">
        <v>1258</v>
      </c>
      <c r="B526" s="44" t="s">
        <v>1473</v>
      </c>
      <c r="C526" s="45" t="s">
        <v>2271</v>
      </c>
      <c r="F526" s="0" t="str">
        <f aca="false">_xlfn.CONCAT(G526,H526)</f>
        <v>CSID0041SEMINARIO Y PRACTICA DOCENTE</v>
      </c>
      <c r="G526" s="0" t="s">
        <v>2272</v>
      </c>
      <c r="H526" s="0" t="s">
        <v>2271</v>
      </c>
    </row>
    <row r="527" customFormat="false" ht="14.65" hidden="false" customHeight="false" outlineLevel="0" collapsed="false">
      <c r="A527" s="43" t="s">
        <v>1175</v>
      </c>
      <c r="B527" s="44" t="s">
        <v>1586</v>
      </c>
      <c r="C527" s="45" t="s">
        <v>2273</v>
      </c>
      <c r="F527" s="0" t="str">
        <f aca="false">_xlfn.CONCAT(G527,H527)</f>
        <v>CSCE0121ENTORNO LEGAL EDUCAC COSTARRIC</v>
      </c>
      <c r="G527" s="0" t="s">
        <v>2274</v>
      </c>
      <c r="H527" s="0" t="s">
        <v>2273</v>
      </c>
    </row>
    <row r="528" customFormat="false" ht="14.65" hidden="false" customHeight="false" outlineLevel="0" collapsed="false">
      <c r="A528" s="43" t="s">
        <v>1258</v>
      </c>
      <c r="B528" s="44" t="s">
        <v>1650</v>
      </c>
      <c r="C528" s="45" t="s">
        <v>2275</v>
      </c>
      <c r="F528" s="0" t="str">
        <f aca="false">_xlfn.CONCAT(G528,H528)</f>
        <v>CSID0050TECNICAS DE LECTURA I</v>
      </c>
      <c r="G528" s="0" t="s">
        <v>2276</v>
      </c>
      <c r="H528" s="0" t="s">
        <v>2275</v>
      </c>
    </row>
    <row r="529" customFormat="false" ht="14.65" hidden="false" customHeight="false" outlineLevel="0" collapsed="false">
      <c r="A529" s="43" t="s">
        <v>1258</v>
      </c>
      <c r="B529" s="44" t="s">
        <v>1132</v>
      </c>
      <c r="C529" s="45" t="s">
        <v>2277</v>
      </c>
      <c r="F529" s="0" t="str">
        <f aca="false">_xlfn.CONCAT(G529,H529)</f>
        <v>CSID0022INTRODUCCION A LA  LINGUISTICA</v>
      </c>
      <c r="G529" s="0" t="s">
        <v>2278</v>
      </c>
      <c r="H529" s="0" t="s">
        <v>2277</v>
      </c>
    </row>
    <row r="530" customFormat="false" ht="14.65" hidden="false" customHeight="false" outlineLevel="0" collapsed="false">
      <c r="A530" s="43" t="s">
        <v>1258</v>
      </c>
      <c r="B530" s="44" t="s">
        <v>1612</v>
      </c>
      <c r="C530" s="45" t="s">
        <v>2279</v>
      </c>
      <c r="F530" s="0" t="str">
        <f aca="false">_xlfn.CONCAT(G530,H530)</f>
        <v>CSID0042SINTAXIS I</v>
      </c>
      <c r="G530" s="0" t="s">
        <v>2280</v>
      </c>
      <c r="H530" s="0" t="s">
        <v>2279</v>
      </c>
    </row>
    <row r="531" customFormat="false" ht="14.65" hidden="false" customHeight="false" outlineLevel="0" collapsed="false">
      <c r="A531" s="43" t="s">
        <v>1258</v>
      </c>
      <c r="B531" s="44" t="s">
        <v>1415</v>
      </c>
      <c r="C531" s="45" t="s">
        <v>2281</v>
      </c>
      <c r="F531" s="0" t="str">
        <f aca="false">_xlfn.CONCAT(G531,H531)</f>
        <v>CSID0033MORFOLOGIA</v>
      </c>
      <c r="G531" s="0" t="s">
        <v>2282</v>
      </c>
      <c r="H531" s="0" t="s">
        <v>2281</v>
      </c>
    </row>
    <row r="532" customFormat="false" ht="14.65" hidden="false" customHeight="false" outlineLevel="0" collapsed="false">
      <c r="A532" s="43" t="s">
        <v>1175</v>
      </c>
      <c r="B532" s="44" t="s">
        <v>1096</v>
      </c>
      <c r="C532" s="45" t="s">
        <v>2283</v>
      </c>
      <c r="F532" s="0" t="str">
        <f aca="false">_xlfn.CONCAT(G532,H532)</f>
        <v>CSCE0009PRODUC TEXTO ESCRITO ESPANOL</v>
      </c>
      <c r="G532" s="0" t="s">
        <v>2284</v>
      </c>
      <c r="H532" s="0" t="s">
        <v>2283</v>
      </c>
    </row>
    <row r="533" customFormat="false" ht="14.65" hidden="false" customHeight="false" outlineLevel="0" collapsed="false">
      <c r="A533" s="43" t="s">
        <v>1258</v>
      </c>
      <c r="B533" s="44" t="s">
        <v>1093</v>
      </c>
      <c r="C533" s="45" t="s">
        <v>2285</v>
      </c>
      <c r="F533" s="0" t="str">
        <f aca="false">_xlfn.CONCAT(G533,H533)</f>
        <v>CSID0008COMUNICACION ORAL III</v>
      </c>
      <c r="G533" s="0" t="s">
        <v>2286</v>
      </c>
      <c r="H533" s="0" t="s">
        <v>2285</v>
      </c>
    </row>
    <row r="534" customFormat="false" ht="14.65" hidden="false" customHeight="false" outlineLevel="0" collapsed="false">
      <c r="A534" s="43" t="s">
        <v>1258</v>
      </c>
      <c r="B534" s="44" t="s">
        <v>1615</v>
      </c>
      <c r="C534" s="45" t="s">
        <v>2287</v>
      </c>
      <c r="F534" s="0" t="str">
        <f aca="false">_xlfn.CONCAT(G534,H534)</f>
        <v>CSID0043SINTAXIS II</v>
      </c>
      <c r="G534" s="0" t="s">
        <v>2288</v>
      </c>
      <c r="H534" s="0" t="s">
        <v>2287</v>
      </c>
    </row>
    <row r="535" customFormat="false" ht="14.65" hidden="false" customHeight="false" outlineLevel="0" collapsed="false">
      <c r="A535" s="43" t="s">
        <v>1258</v>
      </c>
      <c r="B535" s="44" t="s">
        <v>1126</v>
      </c>
      <c r="C535" s="45" t="s">
        <v>2289</v>
      </c>
      <c r="F535" s="0" t="str">
        <f aca="false">_xlfn.CONCAT(G535,H535)</f>
        <v>CSID0019FONETICA</v>
      </c>
      <c r="G535" s="0" t="s">
        <v>2290</v>
      </c>
      <c r="H535" s="0" t="s">
        <v>2289</v>
      </c>
    </row>
    <row r="536" customFormat="false" ht="14.65" hidden="false" customHeight="false" outlineLevel="0" collapsed="false">
      <c r="A536" s="43" t="s">
        <v>1175</v>
      </c>
      <c r="B536" s="44" t="s">
        <v>1573</v>
      </c>
      <c r="C536" s="45" t="s">
        <v>2291</v>
      </c>
      <c r="F536" s="0" t="str">
        <f aca="false">_xlfn.CONCAT(G536,H536)</f>
        <v>CSCE0122ETICA Y PAPEL DOCENTE EN SOCIE</v>
      </c>
      <c r="G536" s="0" t="s">
        <v>2292</v>
      </c>
      <c r="H536" s="0" t="s">
        <v>2291</v>
      </c>
    </row>
    <row r="537" customFormat="false" ht="14.65" hidden="false" customHeight="false" outlineLevel="0" collapsed="false">
      <c r="A537" s="43" t="s">
        <v>1258</v>
      </c>
      <c r="B537" s="44" t="s">
        <v>1096</v>
      </c>
      <c r="C537" s="45" t="s">
        <v>2293</v>
      </c>
      <c r="F537" s="0" t="str">
        <f aca="false">_xlfn.CONCAT(G537,H537)</f>
        <v>CSID0009COMUNICACION ORAL IV</v>
      </c>
      <c r="G537" s="0" t="s">
        <v>2294</v>
      </c>
      <c r="H537" s="0" t="s">
        <v>2293</v>
      </c>
    </row>
    <row r="538" customFormat="false" ht="14.65" hidden="false" customHeight="false" outlineLevel="0" collapsed="false">
      <c r="A538" s="43" t="s">
        <v>1258</v>
      </c>
      <c r="B538" s="44" t="s">
        <v>1081</v>
      </c>
      <c r="C538" s="45" t="s">
        <v>2295</v>
      </c>
      <c r="F538" s="0" t="str">
        <f aca="false">_xlfn.CONCAT(G538,H538)</f>
        <v>CSID0003COMPOSICION I</v>
      </c>
      <c r="G538" s="0" t="s">
        <v>2296</v>
      </c>
      <c r="H538" s="0" t="s">
        <v>2295</v>
      </c>
    </row>
    <row r="539" customFormat="false" ht="14.65" hidden="false" customHeight="false" outlineLevel="0" collapsed="false">
      <c r="A539" s="43" t="s">
        <v>1258</v>
      </c>
      <c r="B539" s="44" t="s">
        <v>1165</v>
      </c>
      <c r="C539" s="45" t="s">
        <v>2297</v>
      </c>
      <c r="F539" s="0" t="str">
        <f aca="false">_xlfn.CONCAT(G539,H539)</f>
        <v>CSID0020FONOLOGIA</v>
      </c>
      <c r="G539" s="0" t="s">
        <v>2298</v>
      </c>
      <c r="H539" s="0" t="s">
        <v>2297</v>
      </c>
    </row>
    <row r="540" customFormat="false" ht="14.65" hidden="false" customHeight="false" outlineLevel="0" collapsed="false">
      <c r="A540" s="43" t="s">
        <v>1258</v>
      </c>
      <c r="B540" s="44" t="s">
        <v>1606</v>
      </c>
      <c r="C540" s="45" t="s">
        <v>2299</v>
      </c>
      <c r="F540" s="0" t="str">
        <f aca="false">_xlfn.CONCAT(G540,H540)</f>
        <v>CSID0054APRECIACION LITERARIA</v>
      </c>
      <c r="G540" s="0" t="s">
        <v>2300</v>
      </c>
      <c r="H540" s="0" t="s">
        <v>2299</v>
      </c>
    </row>
    <row r="541" customFormat="false" ht="14.65" hidden="false" customHeight="false" outlineLevel="0" collapsed="false">
      <c r="A541" s="43" t="s">
        <v>1258</v>
      </c>
      <c r="B541" s="44" t="s">
        <v>1099</v>
      </c>
      <c r="C541" s="45" t="s">
        <v>2301</v>
      </c>
      <c r="F541" s="0" t="str">
        <f aca="false">_xlfn.CONCAT(G541,H541)</f>
        <v>CSID0010COMUNICACION ORAL V</v>
      </c>
      <c r="G541" s="0" t="s">
        <v>2302</v>
      </c>
      <c r="H541" s="0" t="s">
        <v>2301</v>
      </c>
    </row>
    <row r="542" customFormat="false" ht="14.65" hidden="false" customHeight="false" outlineLevel="0" collapsed="false">
      <c r="A542" s="43" t="s">
        <v>1258</v>
      </c>
      <c r="B542" s="44" t="s">
        <v>1162</v>
      </c>
      <c r="C542" s="45" t="s">
        <v>2303</v>
      </c>
      <c r="F542" s="0" t="str">
        <f aca="false">_xlfn.CONCAT(G542,H542)</f>
        <v>CSID0004COMPOSICION II</v>
      </c>
      <c r="G542" s="0" t="s">
        <v>2304</v>
      </c>
      <c r="H542" s="0" t="s">
        <v>2303</v>
      </c>
    </row>
    <row r="543" customFormat="false" ht="14.65" hidden="false" customHeight="false" outlineLevel="0" collapsed="false">
      <c r="A543" s="43" t="s">
        <v>1258</v>
      </c>
      <c r="B543" s="44" t="s">
        <v>1138</v>
      </c>
      <c r="C543" s="45" t="s">
        <v>2305</v>
      </c>
      <c r="F543" s="0" t="str">
        <f aca="false">_xlfn.CONCAT(G543,H543)</f>
        <v>CSID0025INTRODUCCION A LA PEDAGOGIA</v>
      </c>
      <c r="G543" s="0" t="s">
        <v>2306</v>
      </c>
      <c r="H543" s="0" t="s">
        <v>2305</v>
      </c>
    </row>
    <row r="544" customFormat="false" ht="14.65" hidden="false" customHeight="false" outlineLevel="0" collapsed="false">
      <c r="A544" s="43" t="s">
        <v>1258</v>
      </c>
      <c r="B544" s="44" t="s">
        <v>1153</v>
      </c>
      <c r="C544" s="45" t="s">
        <v>2307</v>
      </c>
      <c r="F544" s="0" t="str">
        <f aca="false">_xlfn.CONCAT(G544,H544)</f>
        <v>CSID0028LITERATURA PAISES HABLA INGLES</v>
      </c>
      <c r="G544" s="0" t="s">
        <v>2308</v>
      </c>
      <c r="H544" s="0" t="s">
        <v>2307</v>
      </c>
    </row>
    <row r="545" customFormat="false" ht="14.65" hidden="false" customHeight="false" outlineLevel="0" collapsed="false">
      <c r="A545" s="43" t="s">
        <v>1258</v>
      </c>
      <c r="B545" s="44" t="s">
        <v>1084</v>
      </c>
      <c r="C545" s="45" t="s">
        <v>2309</v>
      </c>
      <c r="F545" s="0" t="str">
        <f aca="false">_xlfn.CONCAT(G545,H545)</f>
        <v>CSID0005COMUNICACION ACADEMICA</v>
      </c>
      <c r="G545" s="0" t="s">
        <v>2310</v>
      </c>
      <c r="H545" s="0" t="s">
        <v>2309</v>
      </c>
    </row>
    <row r="546" customFormat="false" ht="14.65" hidden="false" customHeight="false" outlineLevel="0" collapsed="false">
      <c r="A546" s="43" t="s">
        <v>1258</v>
      </c>
      <c r="B546" s="44" t="s">
        <v>1114</v>
      </c>
      <c r="C546" s="45" t="s">
        <v>2311</v>
      </c>
      <c r="F546" s="0" t="str">
        <f aca="false">_xlfn.CONCAT(G546,H546)</f>
        <v>CSID0015DIDACTICA ENSENANZA DEL INGLES</v>
      </c>
      <c r="G546" s="0" t="s">
        <v>2312</v>
      </c>
      <c r="H546" s="0" t="s">
        <v>2311</v>
      </c>
    </row>
    <row r="547" customFormat="false" ht="14.65" hidden="false" customHeight="false" outlineLevel="0" collapsed="false">
      <c r="A547" s="43" t="s">
        <v>1258</v>
      </c>
      <c r="B547" s="44" t="s">
        <v>1111</v>
      </c>
      <c r="C547" s="45" t="s">
        <v>2313</v>
      </c>
      <c r="F547" s="0" t="str">
        <f aca="false">_xlfn.CONCAT(G547,H547)</f>
        <v>CSID0014CULTURA  PAISES  HABLA INGLESA</v>
      </c>
      <c r="G547" s="0" t="s">
        <v>2314</v>
      </c>
      <c r="H547" s="0" t="s">
        <v>2313</v>
      </c>
    </row>
    <row r="548" customFormat="false" ht="14.65" hidden="false" customHeight="false" outlineLevel="0" collapsed="false">
      <c r="A548" s="43" t="s">
        <v>1175</v>
      </c>
      <c r="B548" s="44" t="s">
        <v>1090</v>
      </c>
      <c r="C548" s="45" t="s">
        <v>2315</v>
      </c>
      <c r="F548" s="0" t="str">
        <f aca="false">_xlfn.CONCAT(G548,H548)</f>
        <v>CSCE0007LEGISLACION EDUCATIVA</v>
      </c>
      <c r="G548" s="0" t="s">
        <v>2316</v>
      </c>
      <c r="H548" s="0" t="s">
        <v>2315</v>
      </c>
    </row>
    <row r="549" customFormat="false" ht="14.65" hidden="false" customHeight="false" outlineLevel="0" collapsed="false">
      <c r="A549" s="43" t="s">
        <v>1258</v>
      </c>
      <c r="B549" s="44" t="s">
        <v>1156</v>
      </c>
      <c r="C549" s="45" t="s">
        <v>2317</v>
      </c>
      <c r="F549" s="0" t="str">
        <f aca="false">_xlfn.CONCAT(G549,H549)</f>
        <v>CSID0031METODOLOGIA I</v>
      </c>
      <c r="G549" s="0" t="s">
        <v>2318</v>
      </c>
      <c r="H549" s="0" t="s">
        <v>2317</v>
      </c>
    </row>
    <row r="550" customFormat="false" ht="14.65" hidden="false" customHeight="false" outlineLevel="0" collapsed="false">
      <c r="A550" s="43" t="s">
        <v>1258</v>
      </c>
      <c r="B550" s="44" t="s">
        <v>1600</v>
      </c>
      <c r="C550" s="45" t="s">
        <v>2319</v>
      </c>
      <c r="F550" s="0" t="str">
        <f aca="false">_xlfn.CONCAT(G550,H550)</f>
        <v>CSID0048TALLER ELABORA RECURSOS DIDACT</v>
      </c>
      <c r="G550" s="0" t="s">
        <v>2320</v>
      </c>
      <c r="H550" s="0" t="s">
        <v>2319</v>
      </c>
    </row>
    <row r="551" customFormat="false" ht="14.65" hidden="false" customHeight="false" outlineLevel="0" collapsed="false">
      <c r="A551" s="43" t="s">
        <v>1258</v>
      </c>
      <c r="B551" s="44" t="s">
        <v>1395</v>
      </c>
      <c r="C551" s="45" t="s">
        <v>2321</v>
      </c>
      <c r="F551" s="0" t="str">
        <f aca="false">_xlfn.CONCAT(G551,H551)</f>
        <v>CSID0034OPTATIVA 1</v>
      </c>
      <c r="G551" s="0" t="s">
        <v>2322</v>
      </c>
      <c r="H551" s="0" t="s">
        <v>2321</v>
      </c>
    </row>
    <row r="552" customFormat="false" ht="14.65" hidden="false" customHeight="false" outlineLevel="0" collapsed="false">
      <c r="A552" s="43" t="s">
        <v>1258</v>
      </c>
      <c r="B552" s="44" t="s">
        <v>1929</v>
      </c>
      <c r="C552" s="45" t="s">
        <v>2323</v>
      </c>
      <c r="F552" s="0" t="str">
        <f aca="false">_xlfn.CONCAT(G552,H552)</f>
        <v>CSID0040SEMANTICA</v>
      </c>
      <c r="G552" s="0" t="s">
        <v>2324</v>
      </c>
      <c r="H552" s="0" t="s">
        <v>2323</v>
      </c>
    </row>
    <row r="553" customFormat="false" ht="14.65" hidden="false" customHeight="false" outlineLevel="0" collapsed="false">
      <c r="A553" s="43" t="s">
        <v>1258</v>
      </c>
      <c r="B553" s="44" t="s">
        <v>1129</v>
      </c>
      <c r="C553" s="45" t="s">
        <v>2325</v>
      </c>
      <c r="F553" s="0" t="str">
        <f aca="false">_xlfn.CONCAT(G553,H553)</f>
        <v>CSID0021INGLES MUNDO CONTEMPORANEO</v>
      </c>
      <c r="G553" s="0" t="s">
        <v>2326</v>
      </c>
      <c r="H553" s="0" t="s">
        <v>2325</v>
      </c>
    </row>
    <row r="554" customFormat="false" ht="14.65" hidden="false" customHeight="false" outlineLevel="0" collapsed="false">
      <c r="A554" s="43" t="s">
        <v>1258</v>
      </c>
      <c r="B554" s="44" t="s">
        <v>1159</v>
      </c>
      <c r="C554" s="45" t="s">
        <v>2327</v>
      </c>
      <c r="F554" s="0" t="str">
        <f aca="false">_xlfn.CONCAT(G554,H554)</f>
        <v>CSID0032METODOLOGIA II</v>
      </c>
      <c r="G554" s="0" t="s">
        <v>2328</v>
      </c>
      <c r="H554" s="0" t="s">
        <v>2327</v>
      </c>
    </row>
    <row r="555" customFormat="false" ht="14.65" hidden="false" customHeight="false" outlineLevel="0" collapsed="false">
      <c r="A555" s="43" t="s">
        <v>1258</v>
      </c>
      <c r="B555" s="44" t="s">
        <v>1078</v>
      </c>
      <c r="C555" s="45" t="s">
        <v>2329</v>
      </c>
      <c r="F555" s="0" t="str">
        <f aca="false">_xlfn.CONCAT(G555,H555)</f>
        <v>CSID0002APLIC TEC EN LA ENSENA INGLES</v>
      </c>
      <c r="G555" s="0" t="s">
        <v>2330</v>
      </c>
      <c r="H555" s="0" t="s">
        <v>2329</v>
      </c>
    </row>
    <row r="556" customFormat="false" ht="14.65" hidden="false" customHeight="false" outlineLevel="0" collapsed="false">
      <c r="A556" s="43" t="s">
        <v>1258</v>
      </c>
      <c r="B556" s="44" t="s">
        <v>1449</v>
      </c>
      <c r="C556" s="45" t="s">
        <v>1870</v>
      </c>
      <c r="F556" s="0" t="str">
        <f aca="false">_xlfn.CONCAT(G556,H556)</f>
        <v>CSID0037PRACTICA DOCENTE</v>
      </c>
      <c r="G556" s="0" t="s">
        <v>2331</v>
      </c>
      <c r="H556" s="0" t="s">
        <v>1870</v>
      </c>
    </row>
    <row r="557" customFormat="false" ht="14.65" hidden="false" customHeight="false" outlineLevel="0" collapsed="false">
      <c r="A557" s="43" t="s">
        <v>1258</v>
      </c>
      <c r="B557" s="44" t="s">
        <v>1622</v>
      </c>
      <c r="C557" s="45" t="s">
        <v>2332</v>
      </c>
      <c r="F557" s="0" t="str">
        <f aca="false">_xlfn.CONCAT(G557,H557)</f>
        <v>CSID0035OPTATIVA 2</v>
      </c>
      <c r="G557" s="0" t="s">
        <v>2333</v>
      </c>
      <c r="H557" s="0" t="s">
        <v>2332</v>
      </c>
    </row>
    <row r="558" customFormat="false" ht="14.65" hidden="false" customHeight="false" outlineLevel="0" collapsed="false">
      <c r="A558" s="43" t="s">
        <v>1175</v>
      </c>
      <c r="B558" s="44" t="s">
        <v>1562</v>
      </c>
      <c r="C558" s="45" t="s">
        <v>2334</v>
      </c>
      <c r="F558" s="0" t="str">
        <f aca="false">_xlfn.CONCAT(G558,H558)</f>
        <v>CSCE0120ATENC DIVER Y NECES EDUCAT ESP</v>
      </c>
      <c r="G558" s="0" t="s">
        <v>2335</v>
      </c>
      <c r="H558" s="0" t="s">
        <v>2334</v>
      </c>
    </row>
    <row r="559" customFormat="false" ht="14.65" hidden="false" customHeight="false" outlineLevel="0" collapsed="false">
      <c r="A559" s="43" t="s">
        <v>1258</v>
      </c>
      <c r="B559" s="44" t="s">
        <v>1482</v>
      </c>
      <c r="C559" s="45" t="s">
        <v>2336</v>
      </c>
      <c r="F559" s="0" t="str">
        <f aca="false">_xlfn.CONCAT(G559,H559)</f>
        <v>CSID0036PLAN Y USO DE RECURSOS ENS ING</v>
      </c>
      <c r="G559" s="0" t="s">
        <v>2337</v>
      </c>
      <c r="H559" s="0" t="s">
        <v>2336</v>
      </c>
    </row>
    <row r="560" customFormat="false" ht="14.65" hidden="false" customHeight="false" outlineLevel="0" collapsed="false">
      <c r="A560" s="43" t="s">
        <v>1258</v>
      </c>
      <c r="B560" s="44" t="s">
        <v>1470</v>
      </c>
      <c r="C560" s="45" t="s">
        <v>2338</v>
      </c>
      <c r="F560" s="0" t="str">
        <f aca="false">_xlfn.CONCAT(G560,H560)</f>
        <v>CSID0053USO LITERATURA ENENSENANZA DEL</v>
      </c>
      <c r="G560" s="0" t="s">
        <v>2339</v>
      </c>
      <c r="H560" s="0" t="s">
        <v>2338</v>
      </c>
    </row>
    <row r="561" customFormat="false" ht="14.65" hidden="false" customHeight="false" outlineLevel="0" collapsed="false">
      <c r="A561" s="43" t="s">
        <v>1258</v>
      </c>
      <c r="B561" s="44" t="s">
        <v>1211</v>
      </c>
      <c r="C561" s="45" t="s">
        <v>2340</v>
      </c>
      <c r="F561" s="0" t="str">
        <f aca="false">_xlfn.CONCAT(G561,H561)</f>
        <v>CSID2010SOCIOLOGIA DE LA EDUCACION</v>
      </c>
      <c r="G561" s="0" t="s">
        <v>2341</v>
      </c>
      <c r="H561" s="0" t="s">
        <v>2340</v>
      </c>
    </row>
    <row r="562" customFormat="false" ht="14.65" hidden="false" customHeight="false" outlineLevel="0" collapsed="false">
      <c r="A562" s="43" t="s">
        <v>1258</v>
      </c>
      <c r="B562" s="44" t="s">
        <v>1702</v>
      </c>
      <c r="C562" s="45" t="s">
        <v>1206</v>
      </c>
      <c r="F562" s="0" t="str">
        <f aca="false">_xlfn.CONCAT(G562,H562)</f>
        <v>CSID2022ETICA PROFESIONAL</v>
      </c>
      <c r="G562" s="0" t="s">
        <v>2342</v>
      </c>
      <c r="H562" s="0" t="s">
        <v>1206</v>
      </c>
    </row>
    <row r="563" customFormat="false" ht="14.65" hidden="false" customHeight="false" outlineLevel="0" collapsed="false">
      <c r="A563" s="43" t="s">
        <v>1258</v>
      </c>
      <c r="B563" s="44" t="s">
        <v>1223</v>
      </c>
      <c r="C563" s="45" t="s">
        <v>2160</v>
      </c>
      <c r="F563" s="0" t="str">
        <f aca="false">_xlfn.CONCAT(G563,H563)</f>
        <v>CSID2014INVESTIGACION EDUCATIVA</v>
      </c>
      <c r="G563" s="0" t="s">
        <v>2343</v>
      </c>
      <c r="H563" s="0" t="s">
        <v>2160</v>
      </c>
    </row>
    <row r="564" customFormat="false" ht="14.65" hidden="false" customHeight="false" outlineLevel="0" collapsed="false">
      <c r="A564" s="43" t="s">
        <v>1258</v>
      </c>
      <c r="B564" s="44" t="s">
        <v>1226</v>
      </c>
      <c r="C564" s="45" t="s">
        <v>2344</v>
      </c>
      <c r="F564" s="0" t="str">
        <f aca="false">_xlfn.CONCAT(G564,H564)</f>
        <v>CSID2015LENGUA Y CULTURA</v>
      </c>
      <c r="G564" s="0" t="s">
        <v>2345</v>
      </c>
      <c r="H564" s="0" t="s">
        <v>2344</v>
      </c>
    </row>
    <row r="565" customFormat="false" ht="14.65" hidden="false" customHeight="false" outlineLevel="0" collapsed="false">
      <c r="A565" s="43" t="s">
        <v>1258</v>
      </c>
      <c r="B565" s="44" t="s">
        <v>1232</v>
      </c>
      <c r="C565" s="45" t="s">
        <v>2346</v>
      </c>
      <c r="F565" s="0" t="str">
        <f aca="false">_xlfn.CONCAT(G565,H565)</f>
        <v>CSID2016ENSEN INGLES COMO LENGUA EXTR</v>
      </c>
      <c r="G565" s="0" t="s">
        <v>2347</v>
      </c>
      <c r="H565" s="0" t="s">
        <v>2346</v>
      </c>
    </row>
    <row r="566" customFormat="false" ht="14.65" hidden="false" customHeight="false" outlineLevel="0" collapsed="false">
      <c r="A566" s="43" t="s">
        <v>1258</v>
      </c>
      <c r="B566" s="44" t="s">
        <v>1208</v>
      </c>
      <c r="C566" s="45" t="s">
        <v>1776</v>
      </c>
      <c r="F566" s="0" t="str">
        <f aca="false">_xlfn.CONCAT(G566,H566)</f>
        <v>CSID2009DISENO CURRICULAR</v>
      </c>
      <c r="G566" s="0" t="s">
        <v>2348</v>
      </c>
      <c r="H566" s="0" t="s">
        <v>1776</v>
      </c>
    </row>
    <row r="567" customFormat="false" ht="14.65" hidden="false" customHeight="false" outlineLevel="0" collapsed="false">
      <c r="A567" s="43" t="s">
        <v>1258</v>
      </c>
      <c r="B567" s="44" t="s">
        <v>1238</v>
      </c>
      <c r="C567" s="45" t="s">
        <v>2349</v>
      </c>
      <c r="F567" s="0" t="str">
        <f aca="false">_xlfn.CONCAT(G567,H567)</f>
        <v>CSID2018PRINCIPIOS ADQUIS DEL LENGUAJE</v>
      </c>
      <c r="G567" s="0" t="s">
        <v>2350</v>
      </c>
      <c r="H567" s="0" t="s">
        <v>2349</v>
      </c>
    </row>
    <row r="568" customFormat="false" ht="14.65" hidden="false" customHeight="false" outlineLevel="0" collapsed="false">
      <c r="A568" s="43" t="s">
        <v>1258</v>
      </c>
      <c r="B568" s="44" t="s">
        <v>1666</v>
      </c>
      <c r="C568" s="45" t="s">
        <v>2351</v>
      </c>
      <c r="F568" s="0" t="str">
        <f aca="false">_xlfn.CONCAT(G568,H568)</f>
        <v>CSID2019INNOVACIONES EDUCATIVAS</v>
      </c>
      <c r="G568" s="0" t="s">
        <v>2352</v>
      </c>
      <c r="H568" s="0" t="s">
        <v>2351</v>
      </c>
    </row>
    <row r="569" customFormat="false" ht="14.65" hidden="false" customHeight="false" outlineLevel="0" collapsed="false">
      <c r="A569" s="43" t="s">
        <v>1258</v>
      </c>
      <c r="B569" s="44" t="s">
        <v>1669</v>
      </c>
      <c r="C569" s="45" t="s">
        <v>1354</v>
      </c>
      <c r="F569" s="0" t="str">
        <f aca="false">_xlfn.CONCAT(G569,H569)</f>
        <v>CSID2020SEMINARIO DE GRADUACION I</v>
      </c>
      <c r="G569" s="0" t="s">
        <v>2353</v>
      </c>
      <c r="H569" s="0" t="s">
        <v>1354</v>
      </c>
    </row>
    <row r="570" customFormat="false" ht="14.65" hidden="false" customHeight="false" outlineLevel="0" collapsed="false">
      <c r="A570" s="43" t="s">
        <v>1258</v>
      </c>
      <c r="B570" s="44" t="s">
        <v>1672</v>
      </c>
      <c r="C570" s="45" t="s">
        <v>1360</v>
      </c>
      <c r="F570" s="0" t="str">
        <f aca="false">_xlfn.CONCAT(G570,H570)</f>
        <v>CSID2021SEMINARIO DE GRADUACION II</v>
      </c>
      <c r="G570" s="0" t="s">
        <v>2354</v>
      </c>
      <c r="H570" s="0" t="s">
        <v>1360</v>
      </c>
    </row>
    <row r="571" customFormat="false" ht="14.65" hidden="false" customHeight="false" outlineLevel="0" collapsed="false">
      <c r="A571" s="43" t="s">
        <v>1258</v>
      </c>
      <c r="B571" s="44" t="s">
        <v>1217</v>
      </c>
      <c r="C571" s="45" t="s">
        <v>1233</v>
      </c>
      <c r="F571" s="0" t="str">
        <f aca="false">_xlfn.CONCAT(G571,H571)</f>
        <v>CSID2012PROYECTO DE GRADUACION</v>
      </c>
      <c r="G571" s="0" t="s">
        <v>2355</v>
      </c>
      <c r="H571" s="0" t="s">
        <v>1233</v>
      </c>
    </row>
    <row r="572" customFormat="false" ht="14.65" hidden="false" customHeight="false" outlineLevel="0" collapsed="false">
      <c r="A572" s="43" t="s">
        <v>1258</v>
      </c>
      <c r="B572" s="44" t="s">
        <v>1220</v>
      </c>
      <c r="C572" s="45" t="s">
        <v>1236</v>
      </c>
      <c r="F572" s="0" t="str">
        <f aca="false">_xlfn.CONCAT(G572,H572)</f>
        <v>CSID2013TESIS DE GRADO</v>
      </c>
      <c r="G572" s="0" t="s">
        <v>2356</v>
      </c>
      <c r="H572" s="0" t="s">
        <v>1236</v>
      </c>
    </row>
    <row r="573" customFormat="false" ht="14.65" hidden="false" customHeight="false" outlineLevel="0" collapsed="false">
      <c r="A573" s="43" t="s">
        <v>1258</v>
      </c>
      <c r="B573" s="44" t="s">
        <v>1181</v>
      </c>
      <c r="C573" s="45" t="s">
        <v>2357</v>
      </c>
      <c r="F573" s="0" t="str">
        <f aca="false">_xlfn.CONCAT(G573,H573)</f>
        <v>CSID2000PRINCIPIOS  ADQUIS  UNA LENGUA</v>
      </c>
      <c r="G573" s="0" t="s">
        <v>2358</v>
      </c>
      <c r="H573" s="0" t="s">
        <v>2357</v>
      </c>
    </row>
    <row r="574" customFormat="false" ht="14.65" hidden="false" customHeight="false" outlineLevel="0" collapsed="false">
      <c r="A574" s="43" t="s">
        <v>1258</v>
      </c>
      <c r="B574" s="44" t="s">
        <v>1184</v>
      </c>
      <c r="C574" s="45" t="s">
        <v>2359</v>
      </c>
      <c r="F574" s="0" t="str">
        <f aca="false">_xlfn.CONCAT(G574,H574)</f>
        <v>CSID2001INNOVACION PROY EDUCAT EN LA</v>
      </c>
      <c r="G574" s="0" t="s">
        <v>2360</v>
      </c>
      <c r="H574" s="0" t="s">
        <v>2359</v>
      </c>
    </row>
    <row r="575" customFormat="false" ht="14.65" hidden="false" customHeight="false" outlineLevel="0" collapsed="false">
      <c r="A575" s="43" t="s">
        <v>1258</v>
      </c>
      <c r="B575" s="44" t="s">
        <v>1187</v>
      </c>
      <c r="C575" s="45" t="s">
        <v>2361</v>
      </c>
      <c r="F575" s="0" t="str">
        <f aca="false">_xlfn.CONCAT(G575,H575)</f>
        <v>CSID2002METODOLOGIA DE LA INVESTIGACI</v>
      </c>
      <c r="G575" s="0" t="s">
        <v>2362</v>
      </c>
      <c r="H575" s="0" t="s">
        <v>2361</v>
      </c>
    </row>
    <row r="576" customFormat="false" ht="14.65" hidden="false" customHeight="false" outlineLevel="0" collapsed="false">
      <c r="A576" s="43" t="s">
        <v>1258</v>
      </c>
      <c r="B576" s="44" t="s">
        <v>1190</v>
      </c>
      <c r="C576" s="45" t="s">
        <v>2363</v>
      </c>
      <c r="F576" s="0" t="str">
        <f aca="false">_xlfn.CONCAT(G576,H576)</f>
        <v>CSID2003ENSEN DEL INGLES PROPOSIT ESPE</v>
      </c>
      <c r="G576" s="0" t="s">
        <v>2364</v>
      </c>
      <c r="H576" s="0" t="s">
        <v>2363</v>
      </c>
    </row>
    <row r="577" customFormat="false" ht="14.65" hidden="false" customHeight="false" outlineLevel="0" collapsed="false">
      <c r="A577" s="43" t="s">
        <v>1258</v>
      </c>
      <c r="B577" s="44" t="s">
        <v>1193</v>
      </c>
      <c r="C577" s="45" t="s">
        <v>2365</v>
      </c>
      <c r="F577" s="0" t="str">
        <f aca="false">_xlfn.CONCAT(G577,H577)</f>
        <v>CSID2004EVALUAC  APRENDIZAJE EN ENSEN</v>
      </c>
      <c r="G577" s="0" t="s">
        <v>2366</v>
      </c>
      <c r="H577" s="0" t="s">
        <v>2365</v>
      </c>
    </row>
    <row r="578" customFormat="false" ht="14.65" hidden="false" customHeight="false" outlineLevel="0" collapsed="false">
      <c r="A578" s="43" t="s">
        <v>1258</v>
      </c>
      <c r="B578" s="44" t="s">
        <v>1196</v>
      </c>
      <c r="C578" s="45" t="s">
        <v>2367</v>
      </c>
      <c r="F578" s="0" t="str">
        <f aca="false">_xlfn.CONCAT(G578,H578)</f>
        <v>CSID2005EVALUACION MATERIALES DIDACTIC</v>
      </c>
      <c r="G578" s="0" t="s">
        <v>2368</v>
      </c>
      <c r="H578" s="0" t="s">
        <v>2367</v>
      </c>
    </row>
    <row r="579" customFormat="false" ht="14.65" hidden="false" customHeight="false" outlineLevel="0" collapsed="false">
      <c r="A579" s="43" t="s">
        <v>1258</v>
      </c>
      <c r="B579" s="44" t="s">
        <v>1199</v>
      </c>
      <c r="C579" s="45" t="s">
        <v>2369</v>
      </c>
      <c r="F579" s="0" t="str">
        <f aca="false">_xlfn.CONCAT(G579,H579)</f>
        <v>CSID2006TALLER INVESTIGAC EN ENSENANZA</v>
      </c>
      <c r="G579" s="0" t="s">
        <v>2370</v>
      </c>
      <c r="H579" s="0" t="s">
        <v>2369</v>
      </c>
    </row>
    <row r="580" customFormat="false" ht="14.65" hidden="false" customHeight="false" outlineLevel="0" collapsed="false">
      <c r="A580" s="43" t="s">
        <v>1258</v>
      </c>
      <c r="B580" s="44" t="s">
        <v>1202</v>
      </c>
      <c r="C580" s="45" t="s">
        <v>2371</v>
      </c>
      <c r="F580" s="0" t="str">
        <f aca="false">_xlfn.CONCAT(G580,H580)</f>
        <v>CSID2007OPTATIVA</v>
      </c>
      <c r="G580" s="0" t="s">
        <v>2372</v>
      </c>
      <c r="H580" s="0" t="s">
        <v>2371</v>
      </c>
    </row>
    <row r="581" customFormat="false" ht="14.65" hidden="false" customHeight="false" outlineLevel="0" collapsed="false">
      <c r="A581" s="43" t="s">
        <v>1258</v>
      </c>
      <c r="B581" s="44" t="s">
        <v>1205</v>
      </c>
      <c r="C581" s="45" t="s">
        <v>2373</v>
      </c>
      <c r="F581" s="0" t="str">
        <f aca="false">_xlfn.CONCAT(G581,H581)</f>
        <v>CSID2008COMUNICACIÓN INTERCULTURAL</v>
      </c>
      <c r="G581" s="0" t="s">
        <v>2374</v>
      </c>
      <c r="H581" s="0" t="s">
        <v>2373</v>
      </c>
    </row>
    <row r="582" customFormat="false" ht="14.65" hidden="false" customHeight="false" outlineLevel="0" collapsed="false">
      <c r="A582" s="43" t="s">
        <v>1258</v>
      </c>
      <c r="B582" s="44" t="s">
        <v>1214</v>
      </c>
      <c r="C582" s="45" t="s">
        <v>1052</v>
      </c>
      <c r="F582" s="0" t="str">
        <f aca="false">_xlfn.CONCAT(G582,H582)</f>
        <v>CSID2011TRABAJO FINAL DE GRADUACION</v>
      </c>
      <c r="G582" s="0" t="s">
        <v>2375</v>
      </c>
      <c r="H582" s="0" t="s">
        <v>1052</v>
      </c>
    </row>
    <row r="583" customFormat="false" ht="14.65" hidden="false" customHeight="false" outlineLevel="0" collapsed="false">
      <c r="A583" s="43" t="s">
        <v>1178</v>
      </c>
      <c r="B583" s="44" t="s">
        <v>2036</v>
      </c>
      <c r="C583" s="45" t="s">
        <v>1555</v>
      </c>
      <c r="F583" s="0" t="str">
        <f aca="false">_xlfn.CONCAT(G583,H583)</f>
        <v>AHCN0096PLAN DE NEGOCIOS</v>
      </c>
      <c r="G583" s="0" t="s">
        <v>2376</v>
      </c>
      <c r="H583" s="0" t="s">
        <v>1555</v>
      </c>
    </row>
    <row r="584" customFormat="false" ht="14.65" hidden="false" customHeight="false" outlineLevel="0" collapsed="false">
      <c r="A584" s="43" t="s">
        <v>1175</v>
      </c>
      <c r="B584" s="44" t="s">
        <v>1507</v>
      </c>
      <c r="C584" s="45" t="s">
        <v>2377</v>
      </c>
      <c r="F584" s="0" t="str">
        <f aca="false">_xlfn.CONCAT(G584,H584)</f>
        <v>CSCE0108COMUNICACION ORAL Y ESCRITA</v>
      </c>
      <c r="G584" s="0" t="s">
        <v>2378</v>
      </c>
      <c r="H584" s="0" t="s">
        <v>2377</v>
      </c>
    </row>
    <row r="585" customFormat="false" ht="14.65" hidden="false" customHeight="false" outlineLevel="0" collapsed="false">
      <c r="A585" s="43" t="s">
        <v>1408</v>
      </c>
      <c r="B585" s="44" t="s">
        <v>1551</v>
      </c>
      <c r="C585" s="45" t="s">
        <v>2379</v>
      </c>
      <c r="F585" s="0" t="str">
        <f aca="false">_xlfn.CONCAT(G585,H585)</f>
        <v>INIG0057SIMULACION DE PROCESOS</v>
      </c>
      <c r="G585" s="0" t="s">
        <v>2380</v>
      </c>
      <c r="H585" s="0" t="s">
        <v>2379</v>
      </c>
    </row>
    <row r="586" customFormat="false" ht="14.65" hidden="false" customHeight="false" outlineLevel="0" collapsed="false">
      <c r="A586" s="43" t="s">
        <v>1178</v>
      </c>
      <c r="B586" s="44" t="s">
        <v>1523</v>
      </c>
      <c r="C586" s="45" t="s">
        <v>1524</v>
      </c>
      <c r="F586" s="0" t="str">
        <f aca="false">_xlfn.CONCAT(G586,H586)</f>
        <v>AHCN0076MODELOS DE PENSAMIENTO</v>
      </c>
      <c r="G586" s="0" t="s">
        <v>2381</v>
      </c>
      <c r="H586" s="0" t="s">
        <v>1524</v>
      </c>
    </row>
    <row r="587" customFormat="false" ht="14.65" hidden="false" customHeight="false" outlineLevel="0" collapsed="false">
      <c r="A587" s="43" t="s">
        <v>1408</v>
      </c>
      <c r="B587" s="44" t="s">
        <v>1639</v>
      </c>
      <c r="C587" s="45" t="s">
        <v>2382</v>
      </c>
      <c r="F587" s="0" t="str">
        <f aca="false">_xlfn.CONCAT(G587,H587)</f>
        <v>INIG0044PROCESOS INDUSTRIALES</v>
      </c>
      <c r="G587" s="0" t="s">
        <v>2383</v>
      </c>
      <c r="H587" s="0" t="s">
        <v>2382</v>
      </c>
    </row>
    <row r="588" customFormat="false" ht="14.65" hidden="false" customHeight="false" outlineLevel="0" collapsed="false">
      <c r="A588" s="43" t="s">
        <v>1370</v>
      </c>
      <c r="B588" s="44" t="s">
        <v>1847</v>
      </c>
      <c r="C588" s="45" t="s">
        <v>2384</v>
      </c>
      <c r="F588" s="0" t="str">
        <f aca="false">_xlfn.CONCAT(G588,H588)</f>
        <v>INTI0100COMPUTACION</v>
      </c>
      <c r="G588" s="0" t="s">
        <v>2385</v>
      </c>
      <c r="H588" s="0" t="s">
        <v>2384</v>
      </c>
    </row>
    <row r="589" customFormat="false" ht="14.65" hidden="false" customHeight="false" outlineLevel="0" collapsed="false">
      <c r="A589" s="43" t="s">
        <v>1364</v>
      </c>
      <c r="B589" s="44" t="s">
        <v>1126</v>
      </c>
      <c r="C589" s="45" t="s">
        <v>2386</v>
      </c>
      <c r="F589" s="0" t="str">
        <f aca="false">_xlfn.CONCAT(G589,H589)</f>
        <v>CNCX0019PROBABILIDAD Y ESTADISTICA I</v>
      </c>
      <c r="G589" s="0" t="s">
        <v>2387</v>
      </c>
      <c r="H589" s="0" t="s">
        <v>2386</v>
      </c>
    </row>
    <row r="590" customFormat="false" ht="14.65" hidden="false" customHeight="false" outlineLevel="0" collapsed="false">
      <c r="A590" s="43" t="s">
        <v>1178</v>
      </c>
      <c r="B590" s="44" t="s">
        <v>1865</v>
      </c>
      <c r="C590" s="45" t="s">
        <v>2388</v>
      </c>
      <c r="F590" s="0" t="str">
        <f aca="false">_xlfn.CONCAT(G590,H590)</f>
        <v>AHCN0077DESARROLLO EMPRESARIAL</v>
      </c>
      <c r="G590" s="0" t="s">
        <v>2389</v>
      </c>
      <c r="H590" s="0" t="s">
        <v>2388</v>
      </c>
    </row>
    <row r="591" customFormat="false" ht="14.65" hidden="false" customHeight="false" outlineLevel="0" collapsed="false">
      <c r="A591" s="43" t="s">
        <v>1408</v>
      </c>
      <c r="B591" s="44" t="s">
        <v>1630</v>
      </c>
      <c r="C591" s="45" t="s">
        <v>1206</v>
      </c>
      <c r="F591" s="0" t="str">
        <f aca="false">_xlfn.CONCAT(G591,H591)</f>
        <v>INIG0045ETICA PROFESIONAL</v>
      </c>
      <c r="G591" s="0" t="s">
        <v>2390</v>
      </c>
      <c r="H591" s="0" t="s">
        <v>1206</v>
      </c>
    </row>
    <row r="592" customFormat="false" ht="14.65" hidden="false" customHeight="false" outlineLevel="0" collapsed="false">
      <c r="A592" s="43" t="s">
        <v>1178</v>
      </c>
      <c r="B592" s="44" t="s">
        <v>1964</v>
      </c>
      <c r="C592" s="45" t="s">
        <v>2391</v>
      </c>
      <c r="F592" s="0" t="str">
        <f aca="false">_xlfn.CONCAT(G592,H592)</f>
        <v>AHCN0083CONTABILIDAD Y COSTOS</v>
      </c>
      <c r="G592" s="0" t="s">
        <v>2392</v>
      </c>
      <c r="H592" s="0" t="s">
        <v>2391</v>
      </c>
    </row>
    <row r="593" customFormat="false" ht="14.65" hidden="false" customHeight="false" outlineLevel="0" collapsed="false">
      <c r="A593" s="43" t="s">
        <v>1364</v>
      </c>
      <c r="B593" s="44" t="s">
        <v>1093</v>
      </c>
      <c r="C593" s="45" t="s">
        <v>2393</v>
      </c>
      <c r="F593" s="0" t="str">
        <f aca="false">_xlfn.CONCAT(G593,H593)</f>
        <v>CNCX0008PROBABILIDAD Y ESTADISTICA II</v>
      </c>
      <c r="G593" s="0" t="s">
        <v>2394</v>
      </c>
      <c r="H593" s="0" t="s">
        <v>2393</v>
      </c>
    </row>
    <row r="594" customFormat="false" ht="14.65" hidden="false" customHeight="false" outlineLevel="0" collapsed="false">
      <c r="A594" s="43" t="s">
        <v>1408</v>
      </c>
      <c r="B594" s="44" t="s">
        <v>1634</v>
      </c>
      <c r="C594" s="45" t="s">
        <v>2395</v>
      </c>
      <c r="F594" s="0" t="str">
        <f aca="false">_xlfn.CONCAT(G594,H594)</f>
        <v>INIG0046INGENIERIA DE METODOS I</v>
      </c>
      <c r="G594" s="0" t="s">
        <v>2396</v>
      </c>
      <c r="H594" s="0" t="s">
        <v>2395</v>
      </c>
    </row>
    <row r="595" customFormat="false" ht="14.65" hidden="false" customHeight="false" outlineLevel="0" collapsed="false">
      <c r="A595" s="43" t="s">
        <v>1178</v>
      </c>
      <c r="B595" s="44" t="s">
        <v>1940</v>
      </c>
      <c r="C595" s="45" t="s">
        <v>2397</v>
      </c>
      <c r="F595" s="0" t="str">
        <f aca="false">_xlfn.CONCAT(G595,H595)</f>
        <v>AHCN0084INSERC LABORAL Y CALID PROFES</v>
      </c>
      <c r="G595" s="0" t="s">
        <v>2398</v>
      </c>
      <c r="H595" s="0" t="s">
        <v>2397</v>
      </c>
    </row>
    <row r="596" customFormat="false" ht="14.65" hidden="false" customHeight="false" outlineLevel="0" collapsed="false">
      <c r="A596" s="43" t="s">
        <v>1074</v>
      </c>
      <c r="B596" s="44" t="s">
        <v>1415</v>
      </c>
      <c r="C596" s="45" t="s">
        <v>2399</v>
      </c>
      <c r="F596" s="0" t="str">
        <f aca="false">_xlfn.CONCAT(G596,H596)</f>
        <v>HSHM0033INTELIGENCIA EMOCIONAL</v>
      </c>
      <c r="G596" s="0" t="s">
        <v>2400</v>
      </c>
      <c r="H596" s="0" t="s">
        <v>2399</v>
      </c>
    </row>
    <row r="597" customFormat="false" ht="14.65" hidden="false" customHeight="false" outlineLevel="0" collapsed="false">
      <c r="A597" s="43" t="s">
        <v>1408</v>
      </c>
      <c r="B597" s="44" t="s">
        <v>1600</v>
      </c>
      <c r="C597" s="45" t="s">
        <v>2401</v>
      </c>
      <c r="F597" s="0" t="str">
        <f aca="false">_xlfn.CONCAT(G597,H597)</f>
        <v>INIG0048INGENIERIA DE METODOS II</v>
      </c>
      <c r="G597" s="0" t="s">
        <v>2402</v>
      </c>
      <c r="H597" s="0" t="s">
        <v>2401</v>
      </c>
    </row>
    <row r="598" customFormat="false" ht="14.65" hidden="false" customHeight="false" outlineLevel="0" collapsed="false">
      <c r="A598" s="43" t="s">
        <v>1178</v>
      </c>
      <c r="B598" s="44" t="s">
        <v>2403</v>
      </c>
      <c r="C598" s="45" t="s">
        <v>2404</v>
      </c>
      <c r="F598" s="0" t="str">
        <f aca="false">_xlfn.CONCAT(G598,H598)</f>
        <v>AHCN0078COSTOS</v>
      </c>
      <c r="G598" s="0" t="s">
        <v>2405</v>
      </c>
      <c r="H598" s="0" t="s">
        <v>2404</v>
      </c>
    </row>
    <row r="599" customFormat="false" ht="14.65" hidden="false" customHeight="false" outlineLevel="0" collapsed="false">
      <c r="A599" s="43" t="s">
        <v>1178</v>
      </c>
      <c r="B599" s="44" t="s">
        <v>1953</v>
      </c>
      <c r="C599" s="45" t="s">
        <v>2406</v>
      </c>
      <c r="F599" s="0" t="str">
        <f aca="false">_xlfn.CONCAT(G599,H599)</f>
        <v>AHCN0079ADMI DE EMPRESAS Y SERVICIOS</v>
      </c>
      <c r="G599" s="0" t="s">
        <v>2407</v>
      </c>
      <c r="H599" s="0" t="s">
        <v>2406</v>
      </c>
    </row>
    <row r="600" customFormat="false" ht="14.65" hidden="false" customHeight="false" outlineLevel="0" collapsed="false">
      <c r="A600" s="43" t="s">
        <v>1408</v>
      </c>
      <c r="B600" s="44" t="s">
        <v>1603</v>
      </c>
      <c r="C600" s="45" t="s">
        <v>2408</v>
      </c>
      <c r="F600" s="0" t="str">
        <f aca="false">_xlfn.CONCAT(G600,H600)</f>
        <v>INIG0049MEJORAMIENTO DE PROCESOS I</v>
      </c>
      <c r="G600" s="0" t="s">
        <v>2409</v>
      </c>
      <c r="H600" s="0" t="s">
        <v>2408</v>
      </c>
    </row>
    <row r="601" customFormat="false" ht="14.65" hidden="false" customHeight="false" outlineLevel="0" collapsed="false">
      <c r="A601" s="43" t="s">
        <v>1178</v>
      </c>
      <c r="B601" s="44" t="s">
        <v>2042</v>
      </c>
      <c r="C601" s="45" t="s">
        <v>2410</v>
      </c>
      <c r="F601" s="0" t="str">
        <f aca="false">_xlfn.CONCAT(G601,H601)</f>
        <v>AHCN0080RELACIONES INDIV DEL TRABAJO</v>
      </c>
      <c r="G601" s="0" t="s">
        <v>2411</v>
      </c>
      <c r="H601" s="0" t="s">
        <v>2410</v>
      </c>
    </row>
    <row r="602" customFormat="false" ht="14.65" hidden="false" customHeight="false" outlineLevel="0" collapsed="false">
      <c r="A602" s="43" t="s">
        <v>1178</v>
      </c>
      <c r="B602" s="44" t="s">
        <v>1967</v>
      </c>
      <c r="C602" s="45" t="s">
        <v>2412</v>
      </c>
      <c r="F602" s="0" t="str">
        <f aca="false">_xlfn.CONCAT(G602,H602)</f>
        <v>AHCN0081E-BUSINESS</v>
      </c>
      <c r="G602" s="0" t="s">
        <v>2413</v>
      </c>
      <c r="H602" s="0" t="s">
        <v>2412</v>
      </c>
    </row>
    <row r="603" customFormat="false" ht="14.65" hidden="false" customHeight="false" outlineLevel="0" collapsed="false">
      <c r="A603" s="43" t="s">
        <v>1408</v>
      </c>
      <c r="B603" s="44" t="s">
        <v>1650</v>
      </c>
      <c r="C603" s="45" t="s">
        <v>2414</v>
      </c>
      <c r="F603" s="0" t="str">
        <f aca="false">_xlfn.CONCAT(G603,H603)</f>
        <v>INIG0050MEJORAMIENTO DE PROCESOS II</v>
      </c>
      <c r="G603" s="0" t="s">
        <v>2415</v>
      </c>
      <c r="H603" s="0" t="s">
        <v>2414</v>
      </c>
    </row>
    <row r="604" customFormat="false" ht="14.65" hidden="false" customHeight="false" outlineLevel="0" collapsed="false">
      <c r="A604" s="43" t="s">
        <v>1408</v>
      </c>
      <c r="B604" s="44" t="s">
        <v>1589</v>
      </c>
      <c r="C604" s="45" t="s">
        <v>2416</v>
      </c>
      <c r="F604" s="0" t="str">
        <f aca="false">_xlfn.CONCAT(G604,H604)</f>
        <v>INIG0051PLANEA Y CONTROL DE LA PRODUC</v>
      </c>
      <c r="G604" s="0" t="s">
        <v>2417</v>
      </c>
      <c r="H604" s="0" t="s">
        <v>2416</v>
      </c>
    </row>
    <row r="605" customFormat="false" ht="14.65" hidden="false" customHeight="false" outlineLevel="0" collapsed="false">
      <c r="A605" s="43" t="s">
        <v>1178</v>
      </c>
      <c r="B605" s="44" t="s">
        <v>1890</v>
      </c>
      <c r="C605" s="45" t="s">
        <v>2418</v>
      </c>
      <c r="F605" s="0" t="str">
        <f aca="false">_xlfn.CONCAT(G605,H605)</f>
        <v>AHCN0082COACHING ESTRATEGICO</v>
      </c>
      <c r="G605" s="0" t="s">
        <v>2419</v>
      </c>
      <c r="H605" s="0" t="s">
        <v>2418</v>
      </c>
    </row>
    <row r="606" customFormat="false" ht="14.65" hidden="false" customHeight="false" outlineLevel="0" collapsed="false">
      <c r="A606" s="43" t="s">
        <v>1408</v>
      </c>
      <c r="B606" s="44" t="s">
        <v>1594</v>
      </c>
      <c r="C606" s="45" t="s">
        <v>2420</v>
      </c>
      <c r="F606" s="0" t="str">
        <f aca="false">_xlfn.CONCAT(G606,H606)</f>
        <v>INIG0052CADENA DE SUMINISTROS</v>
      </c>
      <c r="G606" s="0" t="s">
        <v>2421</v>
      </c>
      <c r="H606" s="0" t="s">
        <v>2420</v>
      </c>
    </row>
    <row r="607" customFormat="false" ht="14.65" hidden="false" customHeight="false" outlineLevel="0" collapsed="false">
      <c r="A607" s="43" t="s">
        <v>1408</v>
      </c>
      <c r="B607" s="44" t="s">
        <v>1470</v>
      </c>
      <c r="C607" s="45" t="s">
        <v>2422</v>
      </c>
      <c r="F607" s="0" t="str">
        <f aca="false">_xlfn.CONCAT(G607,H607)</f>
        <v>INIG0053ANALISIS DE LA PRODUCTIVIDAD</v>
      </c>
      <c r="G607" s="0" t="s">
        <v>2423</v>
      </c>
      <c r="H607" s="0" t="s">
        <v>2422</v>
      </c>
    </row>
    <row r="608" customFormat="false" ht="14.65" hidden="false" customHeight="false" outlineLevel="0" collapsed="false">
      <c r="A608" s="43" t="s">
        <v>1408</v>
      </c>
      <c r="B608" s="44" t="s">
        <v>1156</v>
      </c>
      <c r="C608" s="45" t="s">
        <v>2424</v>
      </c>
      <c r="F608" s="0" t="str">
        <f aca="false">_xlfn.CONCAT(G608,H608)</f>
        <v>INIG0031GESTION DE LA CALIDAD</v>
      </c>
      <c r="G608" s="0" t="s">
        <v>2425</v>
      </c>
      <c r="H608" s="0" t="s">
        <v>2424</v>
      </c>
    </row>
    <row r="609" customFormat="false" ht="14.65" hidden="false" customHeight="false" outlineLevel="0" collapsed="false">
      <c r="A609" s="43" t="s">
        <v>1408</v>
      </c>
      <c r="B609" s="44" t="s">
        <v>1496</v>
      </c>
      <c r="C609" s="45" t="s">
        <v>2426</v>
      </c>
      <c r="F609" s="0" t="str">
        <f aca="false">_xlfn.CONCAT(G609,H609)</f>
        <v>INIG0055FORMUL Y EVAL DE PROYECTOS</v>
      </c>
      <c r="G609" s="0" t="s">
        <v>2427</v>
      </c>
      <c r="H609" s="0" t="s">
        <v>2426</v>
      </c>
    </row>
    <row r="610" customFormat="false" ht="14.65" hidden="false" customHeight="false" outlineLevel="0" collapsed="false">
      <c r="A610" s="43" t="s">
        <v>1408</v>
      </c>
      <c r="B610" s="44" t="s">
        <v>1452</v>
      </c>
      <c r="C610" s="45" t="s">
        <v>2428</v>
      </c>
      <c r="F610" s="0" t="str">
        <f aca="false">_xlfn.CONCAT(G610,H610)</f>
        <v>INIG0056OPTATIVA I</v>
      </c>
      <c r="G610" s="0" t="s">
        <v>2429</v>
      </c>
      <c r="H610" s="0" t="s">
        <v>2428</v>
      </c>
    </row>
    <row r="611" customFormat="false" ht="14.65" hidden="false" customHeight="false" outlineLevel="0" collapsed="false">
      <c r="A611" s="43" t="s">
        <v>1364</v>
      </c>
      <c r="B611" s="44" t="s">
        <v>1108</v>
      </c>
      <c r="C611" s="45" t="s">
        <v>2430</v>
      </c>
      <c r="F611" s="0" t="str">
        <f aca="false">_xlfn.CONCAT(G611,H611)</f>
        <v>CNCX0013CALCULO DIFERENCIAL E INTEGRAL</v>
      </c>
      <c r="G611" s="0" t="s">
        <v>2431</v>
      </c>
      <c r="H611" s="0" t="s">
        <v>2430</v>
      </c>
    </row>
    <row r="612" customFormat="false" ht="14.65" hidden="false" customHeight="false" outlineLevel="0" collapsed="false">
      <c r="A612" s="43" t="s">
        <v>1178</v>
      </c>
      <c r="B612" s="44" t="s">
        <v>2065</v>
      </c>
      <c r="C612" s="45" t="s">
        <v>2432</v>
      </c>
      <c r="F612" s="0" t="str">
        <f aca="false">_xlfn.CONCAT(G612,H612)</f>
        <v>AHCN0085METOD DE LA INVEST CIENT</v>
      </c>
      <c r="G612" s="0" t="s">
        <v>2433</v>
      </c>
      <c r="H612" s="0" t="s">
        <v>2432</v>
      </c>
    </row>
    <row r="613" customFormat="false" ht="14.65" hidden="false" customHeight="false" outlineLevel="0" collapsed="false">
      <c r="A613" s="43" t="s">
        <v>1241</v>
      </c>
      <c r="B613" s="44" t="s">
        <v>1132</v>
      </c>
      <c r="C613" s="45" t="s">
        <v>2434</v>
      </c>
      <c r="F613" s="0" t="str">
        <f aca="false">_xlfn.CONCAT(G613,H613)</f>
        <v>CCAV0022DIBUJO TECNICO</v>
      </c>
      <c r="G613" s="0" t="s">
        <v>2435</v>
      </c>
      <c r="H613" s="0" t="s">
        <v>2434</v>
      </c>
    </row>
    <row r="614" customFormat="false" ht="14.65" hidden="false" customHeight="false" outlineLevel="0" collapsed="false">
      <c r="A614" s="43" t="s">
        <v>1178</v>
      </c>
      <c r="B614" s="44" t="s">
        <v>2021</v>
      </c>
      <c r="C614" s="45" t="s">
        <v>2436</v>
      </c>
      <c r="F614" s="0" t="str">
        <f aca="false">_xlfn.CONCAT(G614,H614)</f>
        <v>AHCN0073CONTABILIDAD GENERAL</v>
      </c>
      <c r="G614" s="0" t="s">
        <v>2437</v>
      </c>
      <c r="H614" s="0" t="s">
        <v>2436</v>
      </c>
    </row>
    <row r="615" customFormat="false" ht="14.65" hidden="false" customHeight="false" outlineLevel="0" collapsed="false">
      <c r="A615" s="43" t="s">
        <v>1408</v>
      </c>
      <c r="B615" s="44" t="s">
        <v>1141</v>
      </c>
      <c r="C615" s="45" t="s">
        <v>2438</v>
      </c>
      <c r="F615" s="0" t="str">
        <f aca="false">_xlfn.CONCAT(G615,H615)</f>
        <v>INIG0029GESTION DE MANTENIMIENTO</v>
      </c>
      <c r="G615" s="0" t="s">
        <v>2439</v>
      </c>
      <c r="H615" s="0" t="s">
        <v>2438</v>
      </c>
    </row>
    <row r="616" customFormat="false" ht="14.65" hidden="false" customHeight="false" outlineLevel="0" collapsed="false">
      <c r="A616" s="43" t="s">
        <v>1178</v>
      </c>
      <c r="B616" s="44" t="s">
        <v>1976</v>
      </c>
      <c r="C616" s="45" t="s">
        <v>2440</v>
      </c>
      <c r="F616" s="0" t="str">
        <f aca="false">_xlfn.CONCAT(G616,H616)</f>
        <v>AHCN0086CONTABILIDAD DE COSTOS</v>
      </c>
      <c r="G616" s="0" t="s">
        <v>2441</v>
      </c>
      <c r="H616" s="0" t="s">
        <v>2440</v>
      </c>
    </row>
    <row r="617" customFormat="false" ht="14.65" hidden="false" customHeight="false" outlineLevel="0" collapsed="false">
      <c r="A617" s="43" t="s">
        <v>1408</v>
      </c>
      <c r="B617" s="44" t="s">
        <v>1150</v>
      </c>
      <c r="C617" s="45" t="s">
        <v>2442</v>
      </c>
      <c r="F617" s="0" t="str">
        <f aca="false">_xlfn.CONCAT(G617,H617)</f>
        <v>INIG0030INVESTIGACION DE OPERACIONES I</v>
      </c>
      <c r="G617" s="0" t="s">
        <v>2443</v>
      </c>
      <c r="H617" s="0" t="s">
        <v>2442</v>
      </c>
    </row>
    <row r="618" customFormat="false" ht="14.65" hidden="false" customHeight="false" outlineLevel="0" collapsed="false">
      <c r="A618" s="43" t="s">
        <v>1370</v>
      </c>
      <c r="B618" s="44" t="s">
        <v>1589</v>
      </c>
      <c r="C618" s="45" t="s">
        <v>1700</v>
      </c>
      <c r="F618" s="0" t="str">
        <f aca="false">_xlfn.CONCAT(G618,H618)</f>
        <v>INTI0051SISTEMAS DE INFORMACION</v>
      </c>
      <c r="G618" s="0" t="s">
        <v>2444</v>
      </c>
      <c r="H618" s="0" t="s">
        <v>1700</v>
      </c>
    </row>
    <row r="619" customFormat="false" ht="14.65" hidden="false" customHeight="false" outlineLevel="0" collapsed="false">
      <c r="A619" s="43" t="s">
        <v>1408</v>
      </c>
      <c r="B619" s="44" t="s">
        <v>1159</v>
      </c>
      <c r="C619" s="45" t="s">
        <v>2445</v>
      </c>
      <c r="F619" s="0" t="str">
        <f aca="false">_xlfn.CONCAT(G619,H619)</f>
        <v>INIG0032INGENIERIA ECONOMICA</v>
      </c>
      <c r="G619" s="0" t="s">
        <v>2446</v>
      </c>
      <c r="H619" s="0" t="s">
        <v>2445</v>
      </c>
    </row>
    <row r="620" customFormat="false" ht="14.65" hidden="false" customHeight="false" outlineLevel="0" collapsed="false">
      <c r="A620" s="43" t="s">
        <v>1408</v>
      </c>
      <c r="B620" s="44" t="s">
        <v>1395</v>
      </c>
      <c r="C620" s="45" t="s">
        <v>2447</v>
      </c>
      <c r="F620" s="0" t="str">
        <f aca="false">_xlfn.CONCAT(G620,H620)</f>
        <v>INIG0034DISENO Y PLANEAMIENT DE INSTAL</v>
      </c>
      <c r="G620" s="0" t="s">
        <v>2448</v>
      </c>
      <c r="H620" s="0" t="s">
        <v>2447</v>
      </c>
    </row>
    <row r="621" customFormat="false" ht="14.65" hidden="false" customHeight="false" outlineLevel="0" collapsed="false">
      <c r="A621" s="43" t="s">
        <v>1408</v>
      </c>
      <c r="B621" s="44" t="s">
        <v>1622</v>
      </c>
      <c r="C621" s="45" t="s">
        <v>2449</v>
      </c>
      <c r="F621" s="0" t="str">
        <f aca="false">_xlfn.CONCAT(G621,H621)</f>
        <v>INIG0035CONTROL ESTADIST DE LA CALIDAD</v>
      </c>
      <c r="G621" s="0" t="s">
        <v>2450</v>
      </c>
      <c r="H621" s="0" t="s">
        <v>2449</v>
      </c>
    </row>
    <row r="622" customFormat="false" ht="14.65" hidden="false" customHeight="false" outlineLevel="0" collapsed="false">
      <c r="A622" s="43" t="s">
        <v>1408</v>
      </c>
      <c r="B622" s="44" t="s">
        <v>1482</v>
      </c>
      <c r="C622" s="45" t="s">
        <v>2451</v>
      </c>
      <c r="F622" s="0" t="str">
        <f aca="false">_xlfn.CONCAT(G622,H622)</f>
        <v>INIG0036GESTION AMBIENTAL</v>
      </c>
      <c r="G622" s="0" t="s">
        <v>2452</v>
      </c>
      <c r="H622" s="0" t="s">
        <v>2451</v>
      </c>
    </row>
    <row r="623" customFormat="false" ht="14.65" hidden="false" customHeight="false" outlineLevel="0" collapsed="false">
      <c r="A623" s="43" t="s">
        <v>1408</v>
      </c>
      <c r="B623" s="44" t="s">
        <v>1449</v>
      </c>
      <c r="C623" s="45" t="s">
        <v>2453</v>
      </c>
      <c r="F623" s="0" t="str">
        <f aca="false">_xlfn.CONCAT(G623,H623)</f>
        <v>INIG0037INGENIERIA DE MATERIALES</v>
      </c>
      <c r="G623" s="0" t="s">
        <v>2454</v>
      </c>
      <c r="H623" s="0" t="s">
        <v>2453</v>
      </c>
    </row>
    <row r="624" customFormat="false" ht="14.65" hidden="false" customHeight="false" outlineLevel="0" collapsed="false">
      <c r="A624" s="43" t="s">
        <v>1408</v>
      </c>
      <c r="B624" s="44" t="s">
        <v>1485</v>
      </c>
      <c r="C624" s="45" t="s">
        <v>2455</v>
      </c>
      <c r="F624" s="0" t="str">
        <f aca="false">_xlfn.CONCAT(G624,H624)</f>
        <v>INIG0038INVEST DE OPERACIONES III</v>
      </c>
      <c r="G624" s="0" t="s">
        <v>2456</v>
      </c>
      <c r="H624" s="0" t="s">
        <v>2455</v>
      </c>
    </row>
    <row r="625" customFormat="false" ht="14.65" hidden="false" customHeight="false" outlineLevel="0" collapsed="false">
      <c r="A625" s="43" t="s">
        <v>1408</v>
      </c>
      <c r="B625" s="44" t="s">
        <v>1488</v>
      </c>
      <c r="C625" s="45" t="s">
        <v>2457</v>
      </c>
      <c r="F625" s="0" t="str">
        <f aca="false">_xlfn.CONCAT(G625,H625)</f>
        <v>INIG0039SEGUR E HIGIENE OCUPACIONAL</v>
      </c>
      <c r="G625" s="0" t="s">
        <v>2458</v>
      </c>
      <c r="H625" s="0" t="s">
        <v>2457</v>
      </c>
    </row>
    <row r="626" customFormat="false" ht="14.65" hidden="false" customHeight="false" outlineLevel="0" collapsed="false">
      <c r="A626" s="43" t="s">
        <v>1408</v>
      </c>
      <c r="B626" s="44" t="s">
        <v>1929</v>
      </c>
      <c r="C626" s="45" t="s">
        <v>2459</v>
      </c>
      <c r="F626" s="0" t="str">
        <f aca="false">_xlfn.CONCAT(G626,H626)</f>
        <v>INIG0040PROCESOS DE MANUFACTURA</v>
      </c>
      <c r="G626" s="0" t="s">
        <v>2460</v>
      </c>
      <c r="H626" s="0" t="s">
        <v>2459</v>
      </c>
    </row>
    <row r="627" customFormat="false" ht="14.65" hidden="false" customHeight="false" outlineLevel="0" collapsed="false">
      <c r="A627" s="43" t="s">
        <v>1408</v>
      </c>
      <c r="B627" s="44" t="s">
        <v>1473</v>
      </c>
      <c r="C627" s="45" t="s">
        <v>2461</v>
      </c>
      <c r="F627" s="0" t="str">
        <f aca="false">_xlfn.CONCAT(G627,H627)</f>
        <v>INIG0041METROLOGIA Y NORMALIZACION</v>
      </c>
      <c r="G627" s="0" t="s">
        <v>2462</v>
      </c>
      <c r="H627" s="0" t="s">
        <v>2461</v>
      </c>
    </row>
    <row r="628" customFormat="false" ht="14.65" hidden="false" customHeight="false" outlineLevel="0" collapsed="false">
      <c r="A628" s="43" t="s">
        <v>1408</v>
      </c>
      <c r="B628" s="44" t="s">
        <v>1612</v>
      </c>
      <c r="C628" s="45" t="s">
        <v>2463</v>
      </c>
      <c r="F628" s="0" t="str">
        <f aca="false">_xlfn.CONCAT(G628,H628)</f>
        <v>INIG0042PROGRAM Y CONTROL DE LA PRODUC</v>
      </c>
      <c r="G628" s="0" t="s">
        <v>2464</v>
      </c>
      <c r="H628" s="0" t="s">
        <v>2463</v>
      </c>
    </row>
    <row r="629" customFormat="false" ht="14.65" hidden="false" customHeight="false" outlineLevel="0" collapsed="false">
      <c r="A629" s="43" t="s">
        <v>1178</v>
      </c>
      <c r="B629" s="44" t="s">
        <v>2465</v>
      </c>
      <c r="C629" s="45" t="s">
        <v>2466</v>
      </c>
      <c r="F629" s="0" t="str">
        <f aca="false">_xlfn.CONCAT(G629,H629)</f>
        <v>AHCN0074FINANZAS</v>
      </c>
      <c r="G629" s="0" t="s">
        <v>2467</v>
      </c>
      <c r="H629" s="0" t="s">
        <v>2466</v>
      </c>
    </row>
    <row r="630" customFormat="false" ht="14.65" hidden="false" customHeight="false" outlineLevel="0" collapsed="false">
      <c r="A630" s="43" t="s">
        <v>1408</v>
      </c>
      <c r="B630" s="44" t="s">
        <v>1615</v>
      </c>
      <c r="C630" s="45" t="s">
        <v>2468</v>
      </c>
      <c r="F630" s="0" t="str">
        <f aca="false">_xlfn.CONCAT(G630,H630)</f>
        <v>INIG0043DIAGNOSTICO INDUSTRIAL</v>
      </c>
      <c r="G630" s="0" t="s">
        <v>2469</v>
      </c>
      <c r="H630" s="0" t="s">
        <v>2468</v>
      </c>
    </row>
    <row r="631" customFormat="false" ht="14.65" hidden="false" customHeight="false" outlineLevel="0" collapsed="false">
      <c r="A631" s="43" t="s">
        <v>1364</v>
      </c>
      <c r="B631" s="44" t="s">
        <v>1156</v>
      </c>
      <c r="C631" s="45" t="s">
        <v>2470</v>
      </c>
      <c r="F631" s="0" t="str">
        <f aca="false">_xlfn.CONCAT(G631,H631)</f>
        <v>CNCX0031FISICA I (TEORIA Y LAB)</v>
      </c>
      <c r="G631" s="0" t="s">
        <v>2471</v>
      </c>
      <c r="H631" s="0" t="s">
        <v>2470</v>
      </c>
    </row>
    <row r="632" customFormat="false" ht="14.65" hidden="false" customHeight="false" outlineLevel="0" collapsed="false">
      <c r="A632" s="43" t="s">
        <v>1364</v>
      </c>
      <c r="B632" s="44" t="s">
        <v>1159</v>
      </c>
      <c r="C632" s="45" t="s">
        <v>2472</v>
      </c>
      <c r="F632" s="0" t="str">
        <f aca="false">_xlfn.CONCAT(G632,H632)</f>
        <v>CNCX0032QUIMICA I (TEORIA Y LAB)</v>
      </c>
      <c r="G632" s="0" t="s">
        <v>2473</v>
      </c>
      <c r="H632" s="0" t="s">
        <v>2472</v>
      </c>
    </row>
    <row r="633" customFormat="false" ht="14.65" hidden="false" customHeight="false" outlineLevel="0" collapsed="false">
      <c r="A633" s="43" t="s">
        <v>1364</v>
      </c>
      <c r="B633" s="44" t="s">
        <v>1111</v>
      </c>
      <c r="C633" s="45" t="s">
        <v>2474</v>
      </c>
      <c r="F633" s="0" t="str">
        <f aca="false">_xlfn.CONCAT(G633,H633)</f>
        <v>CNCX0014CALCULO DIFERENC E INTEGRAL II</v>
      </c>
      <c r="G633" s="0" t="s">
        <v>2475</v>
      </c>
      <c r="H633" s="0" t="s">
        <v>2474</v>
      </c>
    </row>
    <row r="634" customFormat="false" ht="14.65" hidden="false" customHeight="false" outlineLevel="0" collapsed="false">
      <c r="A634" s="43" t="s">
        <v>1364</v>
      </c>
      <c r="B634" s="44" t="s">
        <v>1415</v>
      </c>
      <c r="C634" s="45" t="s">
        <v>2476</v>
      </c>
      <c r="F634" s="0" t="str">
        <f aca="false">_xlfn.CONCAT(G634,H634)</f>
        <v>CNCX0033FISICA II (TEORIA Y LAB)</v>
      </c>
      <c r="G634" s="0" t="s">
        <v>2477</v>
      </c>
      <c r="H634" s="0" t="s">
        <v>2476</v>
      </c>
    </row>
    <row r="635" customFormat="false" ht="14.65" hidden="false" customHeight="false" outlineLevel="0" collapsed="false">
      <c r="A635" s="43" t="s">
        <v>1364</v>
      </c>
      <c r="B635" s="44" t="s">
        <v>1395</v>
      </c>
      <c r="C635" s="45" t="s">
        <v>2478</v>
      </c>
      <c r="F635" s="0" t="str">
        <f aca="false">_xlfn.CONCAT(G635,H635)</f>
        <v>CNCX0034QUIMICA II (TEORIA Y LAB)</v>
      </c>
      <c r="G635" s="0" t="s">
        <v>2479</v>
      </c>
      <c r="H635" s="0" t="s">
        <v>2478</v>
      </c>
    </row>
    <row r="636" customFormat="false" ht="14.65" hidden="false" customHeight="false" outlineLevel="0" collapsed="false">
      <c r="A636" s="43" t="s">
        <v>1364</v>
      </c>
      <c r="B636" s="44" t="s">
        <v>1485</v>
      </c>
      <c r="C636" s="45" t="s">
        <v>2480</v>
      </c>
      <c r="F636" s="0" t="str">
        <f aca="false">_xlfn.CONCAT(G636,H636)</f>
        <v>CNCX0038FISICA III (TEORIA Y LAB)</v>
      </c>
      <c r="G636" s="0" t="s">
        <v>2481</v>
      </c>
      <c r="H636" s="0" t="s">
        <v>2480</v>
      </c>
    </row>
    <row r="637" customFormat="false" ht="14.65" hidden="false" customHeight="false" outlineLevel="0" collapsed="false">
      <c r="A637" s="43" t="s">
        <v>1408</v>
      </c>
      <c r="B637" s="44" t="s">
        <v>1153</v>
      </c>
      <c r="C637" s="45" t="s">
        <v>2482</v>
      </c>
      <c r="F637" s="0" t="str">
        <f aca="false">_xlfn.CONCAT(G637,H637)</f>
        <v>INIG0028ESTUD DEL TRABAJO (TEOR Y LAB)</v>
      </c>
      <c r="G637" s="0" t="s">
        <v>2483</v>
      </c>
      <c r="H637" s="0" t="s">
        <v>2482</v>
      </c>
    </row>
    <row r="638" customFormat="false" ht="14.65" hidden="false" customHeight="false" outlineLevel="0" collapsed="false">
      <c r="A638" s="43" t="s">
        <v>1408</v>
      </c>
      <c r="B638" s="44" t="s">
        <v>1415</v>
      </c>
      <c r="C638" s="45" t="s">
        <v>2484</v>
      </c>
      <c r="F638" s="0" t="str">
        <f aca="false">_xlfn.CONCAT(G638,H638)</f>
        <v>INIG0033INVESTIG DE OPERACIONES II</v>
      </c>
      <c r="G638" s="0" t="s">
        <v>2485</v>
      </c>
      <c r="H638" s="0" t="s">
        <v>2484</v>
      </c>
    </row>
    <row r="639" customFormat="false" ht="14.65" hidden="false" customHeight="false" outlineLevel="0" collapsed="false">
      <c r="A639" s="43" t="s">
        <v>1408</v>
      </c>
      <c r="B639" s="44" t="s">
        <v>1567</v>
      </c>
      <c r="C639" s="45" t="s">
        <v>2461</v>
      </c>
      <c r="F639" s="0" t="str">
        <f aca="false">_xlfn.CONCAT(G639,H639)</f>
        <v>INIG0061METROLOGIA Y NORMALIZACION</v>
      </c>
      <c r="G639" s="0" t="s">
        <v>2486</v>
      </c>
      <c r="H639" s="0" t="s">
        <v>2461</v>
      </c>
    </row>
    <row r="640" customFormat="false" ht="14.65" hidden="false" customHeight="false" outlineLevel="0" collapsed="false">
      <c r="A640" s="43" t="s">
        <v>1408</v>
      </c>
      <c r="B640" s="44" t="s">
        <v>1462</v>
      </c>
      <c r="C640" s="45" t="s">
        <v>2463</v>
      </c>
      <c r="F640" s="0" t="str">
        <f aca="false">_xlfn.CONCAT(G640,H640)</f>
        <v>INIG0062PROGRAM Y CONTROL DE LA PRODUC</v>
      </c>
      <c r="G640" s="0" t="s">
        <v>2487</v>
      </c>
      <c r="H640" s="0" t="s">
        <v>2463</v>
      </c>
    </row>
    <row r="641" customFormat="false" ht="14.65" hidden="false" customHeight="false" outlineLevel="0" collapsed="false">
      <c r="A641" s="43" t="s">
        <v>1408</v>
      </c>
      <c r="B641" s="44" t="s">
        <v>1545</v>
      </c>
      <c r="C641" s="45" t="s">
        <v>2468</v>
      </c>
      <c r="F641" s="0" t="str">
        <f aca="false">_xlfn.CONCAT(G641,H641)</f>
        <v>INIG0063DIAGNOSTICO INDUSTRIAL</v>
      </c>
      <c r="G641" s="0" t="s">
        <v>2488</v>
      </c>
      <c r="H641" s="0" t="s">
        <v>2468</v>
      </c>
    </row>
    <row r="642" customFormat="false" ht="14.65" hidden="false" customHeight="false" outlineLevel="0" collapsed="false">
      <c r="A642" s="43" t="s">
        <v>1364</v>
      </c>
      <c r="B642" s="44" t="s">
        <v>1099</v>
      </c>
      <c r="C642" s="45" t="s">
        <v>2489</v>
      </c>
      <c r="F642" s="0" t="str">
        <f aca="false">_xlfn.CONCAT(G642,H642)</f>
        <v>CNCX0010PRE CALCULO</v>
      </c>
      <c r="G642" s="0" t="s">
        <v>2490</v>
      </c>
      <c r="H642" s="0" t="s">
        <v>2489</v>
      </c>
    </row>
    <row r="643" customFormat="false" ht="14.65" hidden="false" customHeight="false" outlineLevel="0" collapsed="false">
      <c r="A643" s="43" t="s">
        <v>1364</v>
      </c>
      <c r="B643" s="44" t="s">
        <v>1135</v>
      </c>
      <c r="C643" s="45" t="s">
        <v>2491</v>
      </c>
      <c r="F643" s="0" t="str">
        <f aca="false">_xlfn.CONCAT(G643,H643)</f>
        <v>CNCX0023QUIMICA GENERAL I</v>
      </c>
      <c r="G643" s="0" t="s">
        <v>2492</v>
      </c>
      <c r="H643" s="0" t="s">
        <v>2491</v>
      </c>
    </row>
    <row r="644" customFormat="false" ht="14.65" hidden="false" customHeight="false" outlineLevel="0" collapsed="false">
      <c r="A644" s="43" t="s">
        <v>1364</v>
      </c>
      <c r="B644" s="44" t="s">
        <v>1168</v>
      </c>
      <c r="C644" s="45" t="s">
        <v>2493</v>
      </c>
      <c r="F644" s="0" t="str">
        <f aca="false">_xlfn.CONCAT(G644,H644)</f>
        <v>CNCX0024LABORATORIO QUIMICA GENERAL I</v>
      </c>
      <c r="G644" s="0" t="s">
        <v>2494</v>
      </c>
      <c r="H644" s="0" t="s">
        <v>2493</v>
      </c>
    </row>
    <row r="645" customFormat="false" ht="14.65" hidden="false" customHeight="false" outlineLevel="0" collapsed="false">
      <c r="A645" s="43" t="s">
        <v>1408</v>
      </c>
      <c r="B645" s="44" t="s">
        <v>1075</v>
      </c>
      <c r="C645" s="45" t="s">
        <v>2495</v>
      </c>
      <c r="F645" s="0" t="str">
        <f aca="false">_xlfn.CONCAT(G645,H645)</f>
        <v>INIG0001INTRO A LA ING INDUSTRIAL</v>
      </c>
      <c r="G645" s="0" t="s">
        <v>2496</v>
      </c>
      <c r="H645" s="0" t="s">
        <v>2495</v>
      </c>
    </row>
    <row r="646" customFormat="false" ht="14.65" hidden="false" customHeight="false" outlineLevel="0" collapsed="false">
      <c r="A646" s="43" t="s">
        <v>1364</v>
      </c>
      <c r="B646" s="44" t="s">
        <v>1084</v>
      </c>
      <c r="C646" s="45" t="s">
        <v>2497</v>
      </c>
      <c r="F646" s="0" t="str">
        <f aca="false">_xlfn.CONCAT(G646,H646)</f>
        <v>CNCX0005CALCULO I</v>
      </c>
      <c r="G646" s="0" t="s">
        <v>2498</v>
      </c>
      <c r="H646" s="0" t="s">
        <v>2497</v>
      </c>
    </row>
    <row r="647" customFormat="false" ht="14.65" hidden="false" customHeight="false" outlineLevel="0" collapsed="false">
      <c r="A647" s="43" t="s">
        <v>1408</v>
      </c>
      <c r="B647" s="44" t="s">
        <v>1078</v>
      </c>
      <c r="C647" s="45" t="s">
        <v>2499</v>
      </c>
      <c r="F647" s="0" t="str">
        <f aca="false">_xlfn.CONCAT(G647,H647)</f>
        <v>INIG0002DIBUJO ASISTIDO POR COMPUTADOR</v>
      </c>
      <c r="G647" s="0" t="s">
        <v>2500</v>
      </c>
      <c r="H647" s="0" t="s">
        <v>2499</v>
      </c>
    </row>
    <row r="648" customFormat="false" ht="14.65" hidden="false" customHeight="false" outlineLevel="0" collapsed="false">
      <c r="A648" s="43" t="s">
        <v>1364</v>
      </c>
      <c r="B648" s="44" t="s">
        <v>1165</v>
      </c>
      <c r="C648" s="45" t="s">
        <v>2386</v>
      </c>
      <c r="F648" s="0" t="str">
        <f aca="false">_xlfn.CONCAT(G648,H648)</f>
        <v>CNCX0020PROBABILIDAD Y ESTADISTICA I</v>
      </c>
      <c r="G648" s="0" t="s">
        <v>2501</v>
      </c>
      <c r="H648" s="0" t="s">
        <v>2386</v>
      </c>
    </row>
    <row r="649" customFormat="false" ht="14.65" hidden="false" customHeight="false" outlineLevel="0" collapsed="false">
      <c r="A649" s="43" t="s">
        <v>1178</v>
      </c>
      <c r="B649" s="44" t="s">
        <v>1090</v>
      </c>
      <c r="C649" s="45" t="s">
        <v>2502</v>
      </c>
      <c r="F649" s="0" t="str">
        <f aca="false">_xlfn.CONCAT(G649,H649)</f>
        <v>AHCN0007CONTABILIDAD FINANCIERA</v>
      </c>
      <c r="G649" s="0" t="s">
        <v>2503</v>
      </c>
      <c r="H649" s="0" t="s">
        <v>2502</v>
      </c>
    </row>
    <row r="650" customFormat="false" ht="14.65" hidden="false" customHeight="false" outlineLevel="0" collapsed="false">
      <c r="A650" s="43" t="s">
        <v>1364</v>
      </c>
      <c r="B650" s="44" t="s">
        <v>1087</v>
      </c>
      <c r="C650" s="45" t="s">
        <v>2504</v>
      </c>
      <c r="F650" s="0" t="str">
        <f aca="false">_xlfn.CONCAT(G650,H650)</f>
        <v>CNCX0006CALCULO II</v>
      </c>
      <c r="G650" s="0" t="s">
        <v>2505</v>
      </c>
      <c r="H650" s="0" t="s">
        <v>2504</v>
      </c>
    </row>
    <row r="651" customFormat="false" ht="14.65" hidden="false" customHeight="false" outlineLevel="0" collapsed="false">
      <c r="A651" s="43" t="s">
        <v>1364</v>
      </c>
      <c r="B651" s="44" t="s">
        <v>1090</v>
      </c>
      <c r="C651" s="45" t="s">
        <v>1927</v>
      </c>
      <c r="F651" s="0" t="str">
        <f aca="false">_xlfn.CONCAT(G651,H651)</f>
        <v>CNCX0007ALGEBRA LINEAL</v>
      </c>
      <c r="G651" s="0" t="s">
        <v>2506</v>
      </c>
      <c r="H651" s="0" t="s">
        <v>1927</v>
      </c>
    </row>
    <row r="652" customFormat="false" ht="14.65" hidden="false" customHeight="false" outlineLevel="0" collapsed="false">
      <c r="A652" s="43" t="s">
        <v>1364</v>
      </c>
      <c r="B652" s="44" t="s">
        <v>1138</v>
      </c>
      <c r="C652" s="45" t="s">
        <v>2507</v>
      </c>
      <c r="F652" s="0" t="str">
        <f aca="false">_xlfn.CONCAT(G652,H652)</f>
        <v>CNCX0025FISICA GENERAL I</v>
      </c>
      <c r="G652" s="0" t="s">
        <v>2508</v>
      </c>
      <c r="H652" s="0" t="s">
        <v>2507</v>
      </c>
    </row>
    <row r="653" customFormat="false" ht="14.65" hidden="false" customHeight="false" outlineLevel="0" collapsed="false">
      <c r="A653" s="43" t="s">
        <v>1364</v>
      </c>
      <c r="B653" s="44" t="s">
        <v>1144</v>
      </c>
      <c r="C653" s="45" t="s">
        <v>2509</v>
      </c>
      <c r="F653" s="0" t="str">
        <f aca="false">_xlfn.CONCAT(G653,H653)</f>
        <v>CNCX0026LABORATORIO FISICA GENERAL I</v>
      </c>
      <c r="G653" s="0" t="s">
        <v>2510</v>
      </c>
      <c r="H653" s="0" t="s">
        <v>2509</v>
      </c>
    </row>
    <row r="654" customFormat="false" ht="14.65" hidden="false" customHeight="false" outlineLevel="0" collapsed="false">
      <c r="A654" s="43" t="s">
        <v>1364</v>
      </c>
      <c r="B654" s="44" t="s">
        <v>1129</v>
      </c>
      <c r="C654" s="45" t="s">
        <v>2393</v>
      </c>
      <c r="F654" s="0" t="str">
        <f aca="false">_xlfn.CONCAT(G654,H654)</f>
        <v>CNCX0021PROBABILIDAD Y ESTADISTICA II</v>
      </c>
      <c r="G654" s="0" t="s">
        <v>2511</v>
      </c>
      <c r="H654" s="0" t="s">
        <v>2393</v>
      </c>
    </row>
    <row r="655" customFormat="false" ht="14.65" hidden="false" customHeight="false" outlineLevel="0" collapsed="false">
      <c r="A655" s="43" t="s">
        <v>1408</v>
      </c>
      <c r="B655" s="44" t="s">
        <v>1081</v>
      </c>
      <c r="C655" s="45" t="s">
        <v>2512</v>
      </c>
      <c r="F655" s="0" t="str">
        <f aca="false">_xlfn.CONCAT(G655,H655)</f>
        <v>INIG0003ESTUDIO DEL TRABAJO</v>
      </c>
      <c r="G655" s="0" t="s">
        <v>2513</v>
      </c>
      <c r="H655" s="0" t="s">
        <v>2512</v>
      </c>
    </row>
    <row r="656" customFormat="false" ht="14.65" hidden="false" customHeight="false" outlineLevel="0" collapsed="false">
      <c r="A656" s="43" t="s">
        <v>1364</v>
      </c>
      <c r="B656" s="44" t="s">
        <v>1147</v>
      </c>
      <c r="C656" s="45" t="s">
        <v>2514</v>
      </c>
      <c r="F656" s="0" t="str">
        <f aca="false">_xlfn.CONCAT(G656,H656)</f>
        <v>CNCX0027FISICA GENERAL II</v>
      </c>
      <c r="G656" s="0" t="s">
        <v>2515</v>
      </c>
      <c r="H656" s="0" t="s">
        <v>2514</v>
      </c>
    </row>
    <row r="657" customFormat="false" ht="14.65" hidden="false" customHeight="false" outlineLevel="0" collapsed="false">
      <c r="A657" s="43" t="s">
        <v>1364</v>
      </c>
      <c r="B657" s="44" t="s">
        <v>1153</v>
      </c>
      <c r="C657" s="45" t="s">
        <v>2516</v>
      </c>
      <c r="F657" s="0" t="str">
        <f aca="false">_xlfn.CONCAT(G657,H657)</f>
        <v>CNCX0028LABORATORIO FISICA GENERAL II</v>
      </c>
      <c r="G657" s="0" t="s">
        <v>2517</v>
      </c>
      <c r="H657" s="0" t="s">
        <v>2516</v>
      </c>
    </row>
    <row r="658" customFormat="false" ht="14.65" hidden="false" customHeight="false" outlineLevel="0" collapsed="false">
      <c r="A658" s="43" t="s">
        <v>1408</v>
      </c>
      <c r="B658" s="44" t="s">
        <v>1162</v>
      </c>
      <c r="C658" s="45" t="s">
        <v>2518</v>
      </c>
      <c r="F658" s="0" t="str">
        <f aca="false">_xlfn.CONCAT(G658,H658)</f>
        <v>INIG0004CONTAB DE COSTOS PARA INGEN</v>
      </c>
      <c r="G658" s="0" t="s">
        <v>2519</v>
      </c>
      <c r="H658" s="0" t="s">
        <v>2518</v>
      </c>
    </row>
    <row r="659" customFormat="false" ht="14.65" hidden="false" customHeight="false" outlineLevel="0" collapsed="false">
      <c r="A659" s="43" t="s">
        <v>1370</v>
      </c>
      <c r="B659" s="44" t="s">
        <v>1600</v>
      </c>
      <c r="C659" s="45" t="s">
        <v>2520</v>
      </c>
      <c r="F659" s="0" t="str">
        <f aca="false">_xlfn.CONCAT(G659,H659)</f>
        <v>INTI0048PROGRAMACION</v>
      </c>
      <c r="G659" s="0" t="s">
        <v>2521</v>
      </c>
      <c r="H659" s="0" t="s">
        <v>2520</v>
      </c>
    </row>
    <row r="660" customFormat="false" ht="14.65" hidden="false" customHeight="false" outlineLevel="0" collapsed="false">
      <c r="A660" s="43" t="s">
        <v>1408</v>
      </c>
      <c r="B660" s="44" t="s">
        <v>1084</v>
      </c>
      <c r="C660" s="45" t="s">
        <v>2522</v>
      </c>
      <c r="F660" s="0" t="str">
        <f aca="false">_xlfn.CONCAT(G660,H660)</f>
        <v>INIG0005GESTION DE CALIDAD I</v>
      </c>
      <c r="G660" s="0" t="s">
        <v>2523</v>
      </c>
      <c r="H660" s="0" t="s">
        <v>2522</v>
      </c>
    </row>
    <row r="661" customFormat="false" ht="14.65" hidden="false" customHeight="false" outlineLevel="0" collapsed="false">
      <c r="A661" s="43" t="s">
        <v>1364</v>
      </c>
      <c r="B661" s="44" t="s">
        <v>1141</v>
      </c>
      <c r="C661" s="45" t="s">
        <v>2524</v>
      </c>
      <c r="F661" s="0" t="str">
        <f aca="false">_xlfn.CONCAT(G661,H661)</f>
        <v>CNCX0029FISICA GENERAL III</v>
      </c>
      <c r="G661" s="0" t="s">
        <v>2525</v>
      </c>
      <c r="H661" s="0" t="s">
        <v>2524</v>
      </c>
    </row>
    <row r="662" customFormat="false" ht="14.65" hidden="false" customHeight="false" outlineLevel="0" collapsed="false">
      <c r="A662" s="43" t="s">
        <v>1364</v>
      </c>
      <c r="B662" s="44" t="s">
        <v>1150</v>
      </c>
      <c r="C662" s="45" t="s">
        <v>2526</v>
      </c>
      <c r="F662" s="0" t="str">
        <f aca="false">_xlfn.CONCAT(G662,H662)</f>
        <v>CNCX0030LABORATORIO FISICA GENERAL III</v>
      </c>
      <c r="G662" s="0" t="s">
        <v>2527</v>
      </c>
      <c r="H662" s="0" t="s">
        <v>2526</v>
      </c>
    </row>
    <row r="663" customFormat="false" ht="14.65" hidden="false" customHeight="false" outlineLevel="0" collapsed="false">
      <c r="A663" s="43" t="s">
        <v>1408</v>
      </c>
      <c r="B663" s="44" t="s">
        <v>1087</v>
      </c>
      <c r="C663" s="45" t="s">
        <v>2459</v>
      </c>
      <c r="F663" s="0" t="str">
        <f aca="false">_xlfn.CONCAT(G663,H663)</f>
        <v>INIG0006PROCESOS DE MANUFACTURA</v>
      </c>
      <c r="G663" s="0" t="s">
        <v>2528</v>
      </c>
      <c r="H663" s="0" t="s">
        <v>2459</v>
      </c>
    </row>
    <row r="664" customFormat="false" ht="14.65" hidden="false" customHeight="false" outlineLevel="0" collapsed="false">
      <c r="A664" s="43" t="s">
        <v>1370</v>
      </c>
      <c r="B664" s="44" t="s">
        <v>1603</v>
      </c>
      <c r="C664" s="45" t="s">
        <v>2529</v>
      </c>
      <c r="F664" s="0" t="str">
        <f aca="false">_xlfn.CONCAT(G664,H664)</f>
        <v>INTI0049PROG PARA EL ANALISIS DE DATOS</v>
      </c>
      <c r="G664" s="0" t="s">
        <v>2530</v>
      </c>
      <c r="H664" s="0" t="s">
        <v>2529</v>
      </c>
    </row>
    <row r="665" customFormat="false" ht="14.65" hidden="false" customHeight="false" outlineLevel="0" collapsed="false">
      <c r="A665" s="43" t="s">
        <v>1408</v>
      </c>
      <c r="B665" s="44" t="s">
        <v>1090</v>
      </c>
      <c r="C665" s="45" t="s">
        <v>2531</v>
      </c>
      <c r="F665" s="0" t="str">
        <f aca="false">_xlfn.CONCAT(G665,H665)</f>
        <v>INIG0007ESTATICA</v>
      </c>
      <c r="G665" s="0" t="s">
        <v>2532</v>
      </c>
      <c r="H665" s="0" t="s">
        <v>2531</v>
      </c>
    </row>
    <row r="666" customFormat="false" ht="14.65" hidden="false" customHeight="false" outlineLevel="0" collapsed="false">
      <c r="A666" s="43" t="s">
        <v>1408</v>
      </c>
      <c r="B666" s="44" t="s">
        <v>1093</v>
      </c>
      <c r="C666" s="45" t="s">
        <v>2533</v>
      </c>
      <c r="F666" s="0" t="str">
        <f aca="false">_xlfn.CONCAT(G666,H666)</f>
        <v>INIG0008ELECTIVA I</v>
      </c>
      <c r="G666" s="0" t="s">
        <v>2534</v>
      </c>
      <c r="H666" s="0" t="s">
        <v>2533</v>
      </c>
    </row>
    <row r="667" customFormat="false" ht="14.65" hidden="false" customHeight="false" outlineLevel="0" collapsed="false">
      <c r="A667" s="43" t="s">
        <v>1408</v>
      </c>
      <c r="B667" s="44" t="s">
        <v>1096</v>
      </c>
      <c r="C667" s="45" t="s">
        <v>2461</v>
      </c>
      <c r="F667" s="0" t="str">
        <f aca="false">_xlfn.CONCAT(G667,H667)</f>
        <v>INIG0009METROLOGIA Y NORMALIZACION</v>
      </c>
      <c r="G667" s="0" t="s">
        <v>2535</v>
      </c>
      <c r="H667" s="0" t="s">
        <v>2461</v>
      </c>
    </row>
    <row r="668" customFormat="false" ht="14.65" hidden="false" customHeight="false" outlineLevel="0" collapsed="false">
      <c r="A668" s="43" t="s">
        <v>1408</v>
      </c>
      <c r="B668" s="44" t="s">
        <v>1099</v>
      </c>
      <c r="C668" s="45" t="s">
        <v>2449</v>
      </c>
      <c r="F668" s="0" t="str">
        <f aca="false">_xlfn.CONCAT(G668,H668)</f>
        <v>INIG0010CONTROL ESTADIST DE LA CALIDAD</v>
      </c>
      <c r="G668" s="0" t="s">
        <v>2536</v>
      </c>
      <c r="H668" s="0" t="s">
        <v>2449</v>
      </c>
    </row>
    <row r="669" customFormat="false" ht="14.65" hidden="false" customHeight="false" outlineLevel="0" collapsed="false">
      <c r="A669" s="43" t="s">
        <v>1408</v>
      </c>
      <c r="B669" s="44" t="s">
        <v>1102</v>
      </c>
      <c r="C669" s="45" t="s">
        <v>2537</v>
      </c>
      <c r="F669" s="0" t="str">
        <f aca="false">_xlfn.CONCAT(G669,H669)</f>
        <v>INIG0011INGENIERIA DE SERVICIOS</v>
      </c>
      <c r="G669" s="0" t="s">
        <v>2538</v>
      </c>
      <c r="H669" s="0" t="s">
        <v>2537</v>
      </c>
    </row>
    <row r="670" customFormat="false" ht="14.65" hidden="false" customHeight="false" outlineLevel="0" collapsed="false">
      <c r="A670" s="43" t="s">
        <v>1408</v>
      </c>
      <c r="B670" s="44" t="s">
        <v>1105</v>
      </c>
      <c r="C670" s="45" t="s">
        <v>2539</v>
      </c>
      <c r="F670" s="0" t="str">
        <f aca="false">_xlfn.CONCAT(G670,H670)</f>
        <v>INIG0012DISENO ALMAC CENTR DE DISTRIB</v>
      </c>
      <c r="G670" s="0" t="s">
        <v>2540</v>
      </c>
      <c r="H670" s="0" t="s">
        <v>2539</v>
      </c>
    </row>
    <row r="671" customFormat="false" ht="14.65" hidden="false" customHeight="false" outlineLevel="0" collapsed="false">
      <c r="A671" s="43" t="s">
        <v>1408</v>
      </c>
      <c r="B671" s="44" t="s">
        <v>1108</v>
      </c>
      <c r="C671" s="45" t="s">
        <v>2541</v>
      </c>
      <c r="F671" s="0" t="str">
        <f aca="false">_xlfn.CONCAT(G671,H671)</f>
        <v>INIG0013GEST DE SALUD Y SEGUR OCUPAC</v>
      </c>
      <c r="G671" s="0" t="s">
        <v>2542</v>
      </c>
      <c r="H671" s="0" t="s">
        <v>2541</v>
      </c>
    </row>
    <row r="672" customFormat="false" ht="14.65" hidden="false" customHeight="false" outlineLevel="0" collapsed="false">
      <c r="A672" s="43" t="s">
        <v>1408</v>
      </c>
      <c r="B672" s="44" t="s">
        <v>1111</v>
      </c>
      <c r="C672" s="45" t="s">
        <v>2543</v>
      </c>
      <c r="F672" s="0" t="str">
        <f aca="false">_xlfn.CONCAT(G672,H672)</f>
        <v>INIG0014DISENO Y PLANT DE INSTALAC</v>
      </c>
      <c r="G672" s="0" t="s">
        <v>2544</v>
      </c>
      <c r="H672" s="0" t="s">
        <v>2543</v>
      </c>
    </row>
    <row r="673" customFormat="false" ht="14.65" hidden="false" customHeight="false" outlineLevel="0" collapsed="false">
      <c r="A673" s="43" t="s">
        <v>1408</v>
      </c>
      <c r="B673" s="44" t="s">
        <v>1114</v>
      </c>
      <c r="C673" s="45" t="s">
        <v>2445</v>
      </c>
      <c r="F673" s="0" t="str">
        <f aca="false">_xlfn.CONCAT(G673,H673)</f>
        <v>INIG0015INGENIERIA ECONOMICA</v>
      </c>
      <c r="G673" s="0" t="s">
        <v>2545</v>
      </c>
      <c r="H673" s="0" t="s">
        <v>2445</v>
      </c>
    </row>
    <row r="674" customFormat="false" ht="14.65" hidden="false" customHeight="false" outlineLevel="0" collapsed="false">
      <c r="A674" s="43" t="s">
        <v>1408</v>
      </c>
      <c r="B674" s="44" t="s">
        <v>1117</v>
      </c>
      <c r="C674" s="45" t="s">
        <v>2546</v>
      </c>
      <c r="F674" s="0" t="str">
        <f aca="false">_xlfn.CONCAT(G674,H674)</f>
        <v>INIG0016ELECTIVA II</v>
      </c>
      <c r="G674" s="0" t="s">
        <v>2547</v>
      </c>
      <c r="H674" s="0" t="s">
        <v>2546</v>
      </c>
    </row>
    <row r="675" customFormat="false" ht="14.65" hidden="false" customHeight="false" outlineLevel="0" collapsed="false">
      <c r="A675" s="43" t="s">
        <v>1408</v>
      </c>
      <c r="B675" s="44" t="s">
        <v>1120</v>
      </c>
      <c r="C675" s="45" t="s">
        <v>2548</v>
      </c>
      <c r="F675" s="0" t="str">
        <f aca="false">_xlfn.CONCAT(G675,H675)</f>
        <v>INIG0017GESTION DEL MANTENIMIENTO</v>
      </c>
      <c r="G675" s="0" t="s">
        <v>2549</v>
      </c>
      <c r="H675" s="0" t="s">
        <v>2548</v>
      </c>
    </row>
    <row r="676" customFormat="false" ht="14.65" hidden="false" customHeight="false" outlineLevel="0" collapsed="false">
      <c r="A676" s="43" t="s">
        <v>1408</v>
      </c>
      <c r="B676" s="44" t="s">
        <v>1123</v>
      </c>
      <c r="C676" s="45" t="s">
        <v>2550</v>
      </c>
      <c r="F676" s="0" t="str">
        <f aca="false">_xlfn.CONCAT(G676,H676)</f>
        <v>INIG0018GESTION DE TALENTO HUMANO</v>
      </c>
      <c r="G676" s="0" t="s">
        <v>2551</v>
      </c>
      <c r="H676" s="0" t="s">
        <v>2550</v>
      </c>
    </row>
    <row r="677" customFormat="false" ht="14.65" hidden="false" customHeight="false" outlineLevel="0" collapsed="false">
      <c r="A677" s="43" t="s">
        <v>1408</v>
      </c>
      <c r="B677" s="44" t="s">
        <v>1126</v>
      </c>
      <c r="C677" s="45" t="s">
        <v>2552</v>
      </c>
      <c r="F677" s="0" t="str">
        <f aca="false">_xlfn.CONCAT(G677,H677)</f>
        <v>INIG0019INTROD A LA INTELIG DE NEGOC</v>
      </c>
      <c r="G677" s="0" t="s">
        <v>2553</v>
      </c>
      <c r="H677" s="0" t="s">
        <v>2552</v>
      </c>
    </row>
    <row r="678" customFormat="false" ht="14.65" hidden="false" customHeight="false" outlineLevel="0" collapsed="false">
      <c r="A678" s="43" t="s">
        <v>1408</v>
      </c>
      <c r="B678" s="44" t="s">
        <v>1165</v>
      </c>
      <c r="C678" s="45" t="s">
        <v>2554</v>
      </c>
      <c r="F678" s="0" t="str">
        <f aca="false">_xlfn.CONCAT(G678,H678)</f>
        <v>INIG0020SISTEMA DE INVENTARIOS</v>
      </c>
      <c r="G678" s="0" t="s">
        <v>2555</v>
      </c>
      <c r="H678" s="0" t="s">
        <v>2554</v>
      </c>
    </row>
    <row r="679" customFormat="false" ht="14.65" hidden="false" customHeight="false" outlineLevel="0" collapsed="false">
      <c r="A679" s="43" t="s">
        <v>1408</v>
      </c>
      <c r="B679" s="44" t="s">
        <v>1129</v>
      </c>
      <c r="C679" s="45" t="s">
        <v>2556</v>
      </c>
      <c r="F679" s="0" t="str">
        <f aca="false">_xlfn.CONCAT(G679,H679)</f>
        <v>INIG0021SISTEMAS DE TRANSPORTE</v>
      </c>
      <c r="G679" s="0" t="s">
        <v>2557</v>
      </c>
      <c r="H679" s="0" t="s">
        <v>2556</v>
      </c>
    </row>
    <row r="680" customFormat="false" ht="14.65" hidden="false" customHeight="false" outlineLevel="0" collapsed="false">
      <c r="A680" s="43" t="s">
        <v>1408</v>
      </c>
      <c r="B680" s="44" t="s">
        <v>1132</v>
      </c>
      <c r="C680" s="45" t="s">
        <v>2558</v>
      </c>
      <c r="F680" s="0" t="str">
        <f aca="false">_xlfn.CONCAT(G680,H680)</f>
        <v>INIG0022GESTION DE CALIDAD II</v>
      </c>
      <c r="G680" s="0" t="s">
        <v>2559</v>
      </c>
      <c r="H680" s="0" t="s">
        <v>2558</v>
      </c>
    </row>
    <row r="681" customFormat="false" ht="14.65" hidden="false" customHeight="false" outlineLevel="0" collapsed="false">
      <c r="A681" s="43" t="s">
        <v>1408</v>
      </c>
      <c r="B681" s="44" t="s">
        <v>1135</v>
      </c>
      <c r="C681" s="45" t="s">
        <v>2451</v>
      </c>
      <c r="F681" s="0" t="str">
        <f aca="false">_xlfn.CONCAT(G681,H681)</f>
        <v>INIG0023GESTION AMBIENTAL</v>
      </c>
      <c r="G681" s="0" t="s">
        <v>2560</v>
      </c>
      <c r="H681" s="0" t="s">
        <v>2451</v>
      </c>
    </row>
    <row r="682" customFormat="false" ht="14.65" hidden="false" customHeight="false" outlineLevel="0" collapsed="false">
      <c r="A682" s="43" t="s">
        <v>1370</v>
      </c>
      <c r="B682" s="44" t="s">
        <v>1650</v>
      </c>
      <c r="C682" s="45" t="s">
        <v>2561</v>
      </c>
      <c r="F682" s="0" t="str">
        <f aca="false">_xlfn.CONCAT(G682,H682)</f>
        <v>INTI0050CIENCIAS DE DATOS</v>
      </c>
      <c r="G682" s="0" t="s">
        <v>2562</v>
      </c>
      <c r="H682" s="0" t="s">
        <v>2561</v>
      </c>
    </row>
    <row r="683" customFormat="false" ht="14.65" hidden="false" customHeight="false" outlineLevel="0" collapsed="false">
      <c r="A683" s="43" t="s">
        <v>1408</v>
      </c>
      <c r="B683" s="44" t="s">
        <v>1168</v>
      </c>
      <c r="C683" s="45" t="s">
        <v>2563</v>
      </c>
      <c r="F683" s="0" t="str">
        <f aca="false">_xlfn.CONCAT(G683,H683)</f>
        <v>INIG0024PROGR Y CONTROL DE LA PRODUC</v>
      </c>
      <c r="G683" s="0" t="s">
        <v>2564</v>
      </c>
      <c r="H683" s="0" t="s">
        <v>2563</v>
      </c>
    </row>
    <row r="684" customFormat="false" ht="14.65" hidden="false" customHeight="false" outlineLevel="0" collapsed="false">
      <c r="A684" s="43" t="s">
        <v>1408</v>
      </c>
      <c r="B684" s="44" t="s">
        <v>1606</v>
      </c>
      <c r="C684" s="45" t="s">
        <v>2565</v>
      </c>
      <c r="F684" s="0" t="str">
        <f aca="false">_xlfn.CONCAT(G684,H684)</f>
        <v>INIG0054ING DE PROCESOS DE NEGOCIO</v>
      </c>
      <c r="G684" s="0" t="s">
        <v>2566</v>
      </c>
      <c r="H684" s="0" t="s">
        <v>2565</v>
      </c>
    </row>
    <row r="685" customFormat="false" ht="14.65" hidden="false" customHeight="false" outlineLevel="0" collapsed="false">
      <c r="A685" s="43" t="s">
        <v>1408</v>
      </c>
      <c r="B685" s="44" t="s">
        <v>1144</v>
      </c>
      <c r="C685" s="45" t="s">
        <v>2567</v>
      </c>
      <c r="F685" s="0" t="str">
        <f aca="false">_xlfn.CONCAT(G685,H685)</f>
        <v>INIG0026ETICA PROFESIONAL PARA ING</v>
      </c>
      <c r="G685" s="0" t="s">
        <v>2568</v>
      </c>
      <c r="H685" s="0" t="s">
        <v>2567</v>
      </c>
    </row>
    <row r="686" customFormat="false" ht="14.65" hidden="false" customHeight="false" outlineLevel="0" collapsed="false">
      <c r="A686" s="43" t="s">
        <v>1178</v>
      </c>
      <c r="B686" s="44" t="s">
        <v>1326</v>
      </c>
      <c r="C686" s="45" t="s">
        <v>2569</v>
      </c>
      <c r="F686" s="0" t="str">
        <f aca="false">_xlfn.CONCAT(G686,H686)</f>
        <v>AHCN0106ADMINISTRACION ESTRATEGICA</v>
      </c>
      <c r="G686" s="0" t="s">
        <v>2570</v>
      </c>
      <c r="H686" s="0" t="s">
        <v>2569</v>
      </c>
    </row>
    <row r="687" customFormat="false" ht="14.65" hidden="false" customHeight="false" outlineLevel="0" collapsed="false">
      <c r="A687" s="43" t="s">
        <v>1408</v>
      </c>
      <c r="B687" s="44" t="s">
        <v>1147</v>
      </c>
      <c r="C687" s="45" t="s">
        <v>2571</v>
      </c>
      <c r="F687" s="0" t="str">
        <f aca="false">_xlfn.CONCAT(G687,H687)</f>
        <v>INIG0027SISTEM MODERNOS DE MANUFACTURA</v>
      </c>
      <c r="G687" s="0" t="s">
        <v>2572</v>
      </c>
      <c r="H687" s="0" t="s">
        <v>2571</v>
      </c>
    </row>
    <row r="688" customFormat="false" ht="14.65" hidden="false" customHeight="false" outlineLevel="0" collapsed="false">
      <c r="A688" s="43" t="s">
        <v>1408</v>
      </c>
      <c r="B688" s="44" t="s">
        <v>1205</v>
      </c>
      <c r="C688" s="45" t="s">
        <v>2573</v>
      </c>
      <c r="F688" s="0" t="str">
        <f aca="false">_xlfn.CONCAT(G688,H688)</f>
        <v>INIG2008PLANEACION AVANZADA DE CALIDAD</v>
      </c>
      <c r="G688" s="0" t="s">
        <v>2574</v>
      </c>
      <c r="H688" s="0" t="s">
        <v>2573</v>
      </c>
    </row>
    <row r="689" customFormat="false" ht="14.65" hidden="false" customHeight="false" outlineLevel="0" collapsed="false">
      <c r="A689" s="43" t="s">
        <v>1171</v>
      </c>
      <c r="B689" s="44" t="s">
        <v>1211</v>
      </c>
      <c r="C689" s="45" t="s">
        <v>1276</v>
      </c>
      <c r="F689" s="0" t="str">
        <f aca="false">_xlfn.CONCAT(G689,H689)</f>
        <v>CCCO2010APRECIACION DEL ARTE</v>
      </c>
      <c r="G689" s="0" t="s">
        <v>2575</v>
      </c>
      <c r="H689" s="0" t="s">
        <v>1276</v>
      </c>
    </row>
    <row r="690" customFormat="false" ht="14.65" hidden="false" customHeight="false" outlineLevel="0" collapsed="false">
      <c r="A690" s="43" t="s">
        <v>1178</v>
      </c>
      <c r="B690" s="44" t="s">
        <v>2131</v>
      </c>
      <c r="C690" s="45" t="s">
        <v>1450</v>
      </c>
      <c r="F690" s="0" t="str">
        <f aca="false">_xlfn.CONCAT(G690,H690)</f>
        <v>AHCN2036LIDERAZGO GERENCIAL</v>
      </c>
      <c r="G690" s="0" t="s">
        <v>2576</v>
      </c>
      <c r="H690" s="0" t="s">
        <v>1450</v>
      </c>
    </row>
    <row r="691" customFormat="false" ht="14.65" hidden="false" customHeight="false" outlineLevel="0" collapsed="false">
      <c r="A691" s="43" t="s">
        <v>1178</v>
      </c>
      <c r="B691" s="44" t="s">
        <v>2134</v>
      </c>
      <c r="C691" s="45" t="s">
        <v>2577</v>
      </c>
      <c r="F691" s="0" t="str">
        <f aca="false">_xlfn.CONCAT(G691,H691)</f>
        <v>AHCN2037GENERACION DE PYMES</v>
      </c>
      <c r="G691" s="0" t="s">
        <v>2578</v>
      </c>
      <c r="H691" s="0" t="s">
        <v>2577</v>
      </c>
    </row>
    <row r="692" customFormat="false" ht="14.65" hidden="false" customHeight="false" outlineLevel="0" collapsed="false">
      <c r="A692" s="43" t="s">
        <v>1408</v>
      </c>
      <c r="B692" s="44" t="s">
        <v>1208</v>
      </c>
      <c r="C692" s="45" t="s">
        <v>2579</v>
      </c>
      <c r="F692" s="0" t="str">
        <f aca="false">_xlfn.CONCAT(G692,H692)</f>
        <v>INIG2009ADMINISTRACION DE MATERIALES</v>
      </c>
      <c r="G692" s="0" t="s">
        <v>2580</v>
      </c>
      <c r="H692" s="0" t="s">
        <v>2579</v>
      </c>
    </row>
    <row r="693" customFormat="false" ht="14.65" hidden="false" customHeight="false" outlineLevel="0" collapsed="false">
      <c r="A693" s="43" t="s">
        <v>1408</v>
      </c>
      <c r="B693" s="44" t="s">
        <v>1211</v>
      </c>
      <c r="C693" s="45" t="s">
        <v>2581</v>
      </c>
      <c r="F693" s="0" t="str">
        <f aca="false">_xlfn.CONCAT(G693,H693)</f>
        <v>INIG2010OPTATIVA II</v>
      </c>
      <c r="G693" s="0" t="s">
        <v>2582</v>
      </c>
      <c r="H693" s="0" t="s">
        <v>2581</v>
      </c>
    </row>
    <row r="694" customFormat="false" ht="14.65" hidden="false" customHeight="false" outlineLevel="0" collapsed="false">
      <c r="A694" s="43" t="s">
        <v>1178</v>
      </c>
      <c r="B694" s="44" t="s">
        <v>2137</v>
      </c>
      <c r="C694" s="45" t="s">
        <v>2583</v>
      </c>
      <c r="F694" s="0" t="str">
        <f aca="false">_xlfn.CONCAT(G694,H694)</f>
        <v>AHCN2038METODOLOGIA DE LA INVESTIG</v>
      </c>
      <c r="G694" s="0" t="s">
        <v>2584</v>
      </c>
      <c r="H694" s="0" t="s">
        <v>2583</v>
      </c>
    </row>
    <row r="695" customFormat="false" ht="14.65" hidden="false" customHeight="false" outlineLevel="0" collapsed="false">
      <c r="A695" s="43" t="s">
        <v>1178</v>
      </c>
      <c r="B695" s="44" t="s">
        <v>2140</v>
      </c>
      <c r="C695" s="45" t="s">
        <v>2569</v>
      </c>
      <c r="F695" s="0" t="str">
        <f aca="false">_xlfn.CONCAT(G695,H695)</f>
        <v>AHCN2039ADMINISTRACION ESTRATEGICA</v>
      </c>
      <c r="G695" s="0" t="s">
        <v>2585</v>
      </c>
      <c r="H695" s="0" t="s">
        <v>2569</v>
      </c>
    </row>
    <row r="696" customFormat="false" ht="14.65" hidden="false" customHeight="false" outlineLevel="0" collapsed="false">
      <c r="A696" s="43" t="s">
        <v>1408</v>
      </c>
      <c r="B696" s="44" t="s">
        <v>1214</v>
      </c>
      <c r="C696" s="45" t="s">
        <v>2586</v>
      </c>
      <c r="F696" s="0" t="str">
        <f aca="false">_xlfn.CONCAT(G696,H696)</f>
        <v>INIG2011DISENO DE SISTEMAS DE PRODUC</v>
      </c>
      <c r="G696" s="0" t="s">
        <v>2587</v>
      </c>
      <c r="H696" s="0" t="s">
        <v>2586</v>
      </c>
    </row>
    <row r="697" customFormat="false" ht="14.65" hidden="false" customHeight="false" outlineLevel="0" collapsed="false">
      <c r="A697" s="43" t="s">
        <v>1408</v>
      </c>
      <c r="B697" s="44" t="s">
        <v>1217</v>
      </c>
      <c r="C697" s="45" t="s">
        <v>2588</v>
      </c>
      <c r="F697" s="0" t="str">
        <f aca="false">_xlfn.CONCAT(G697,H697)</f>
        <v>INIG2012SOFTWARE APLICADO A PROCESOS</v>
      </c>
      <c r="G697" s="0" t="s">
        <v>2589</v>
      </c>
      <c r="H697" s="0" t="s">
        <v>2588</v>
      </c>
    </row>
    <row r="698" customFormat="false" ht="14.65" hidden="false" customHeight="false" outlineLevel="0" collapsed="false">
      <c r="A698" s="43" t="s">
        <v>1178</v>
      </c>
      <c r="B698" s="44" t="s">
        <v>2143</v>
      </c>
      <c r="C698" s="45" t="s">
        <v>2590</v>
      </c>
      <c r="F698" s="0" t="str">
        <f aca="false">_xlfn.CONCAT(G698,H698)</f>
        <v>AHCN2040JUEGO DE NEGOCIOS</v>
      </c>
      <c r="G698" s="0" t="s">
        <v>2591</v>
      </c>
      <c r="H698" s="0" t="s">
        <v>2590</v>
      </c>
    </row>
    <row r="699" customFormat="false" ht="14.65" hidden="false" customHeight="false" outlineLevel="0" collapsed="false">
      <c r="A699" s="43" t="s">
        <v>1178</v>
      </c>
      <c r="B699" s="44" t="s">
        <v>2148</v>
      </c>
      <c r="C699" s="45" t="s">
        <v>1466</v>
      </c>
      <c r="F699" s="0" t="str">
        <f aca="false">_xlfn.CONCAT(G699,H699)</f>
        <v>AHCN2041ETICA EMPRESARIAL</v>
      </c>
      <c r="G699" s="0" t="s">
        <v>2592</v>
      </c>
      <c r="H699" s="0" t="s">
        <v>1466</v>
      </c>
    </row>
    <row r="700" customFormat="false" ht="14.65" hidden="false" customHeight="false" outlineLevel="0" collapsed="false">
      <c r="A700" s="43" t="s">
        <v>1408</v>
      </c>
      <c r="B700" s="44" t="s">
        <v>1220</v>
      </c>
      <c r="C700" s="45" t="s">
        <v>1227</v>
      </c>
      <c r="F700" s="0" t="str">
        <f aca="false">_xlfn.CONCAT(G700,H700)</f>
        <v>INIG2013SEMINARIO DE GRADUACION</v>
      </c>
      <c r="G700" s="0" t="s">
        <v>2593</v>
      </c>
      <c r="H700" s="0" t="s">
        <v>1227</v>
      </c>
    </row>
    <row r="701" customFormat="false" ht="14.65" hidden="false" customHeight="false" outlineLevel="0" collapsed="false">
      <c r="A701" s="43" t="s">
        <v>1408</v>
      </c>
      <c r="B701" s="44" t="s">
        <v>1223</v>
      </c>
      <c r="C701" s="45" t="s">
        <v>1830</v>
      </c>
      <c r="F701" s="0" t="str">
        <f aca="false">_xlfn.CONCAT(G701,H701)</f>
        <v>INIG2014PRACTICA PROFESIONAL</v>
      </c>
      <c r="G701" s="0" t="s">
        <v>2594</v>
      </c>
      <c r="H701" s="0" t="s">
        <v>1830</v>
      </c>
    </row>
    <row r="702" customFormat="false" ht="14.65" hidden="false" customHeight="false" outlineLevel="0" collapsed="false">
      <c r="A702" s="43" t="s">
        <v>1408</v>
      </c>
      <c r="B702" s="44" t="s">
        <v>1226</v>
      </c>
      <c r="C702" s="45" t="s">
        <v>1233</v>
      </c>
      <c r="F702" s="0" t="str">
        <f aca="false">_xlfn.CONCAT(G702,H702)</f>
        <v>INIG2015PROYECTO DE GRADUACION</v>
      </c>
      <c r="G702" s="0" t="s">
        <v>2595</v>
      </c>
      <c r="H702" s="0" t="s">
        <v>1233</v>
      </c>
    </row>
    <row r="703" customFormat="false" ht="14.65" hidden="false" customHeight="false" outlineLevel="0" collapsed="false">
      <c r="A703" s="43" t="s">
        <v>1408</v>
      </c>
      <c r="B703" s="44" t="s">
        <v>1181</v>
      </c>
      <c r="C703" s="45" t="s">
        <v>2596</v>
      </c>
      <c r="F703" s="0" t="str">
        <f aca="false">_xlfn.CONCAT(G703,H703)</f>
        <v>INIG2000PLANIF Y CONTROL ESTRATEGICO</v>
      </c>
      <c r="G703" s="0" t="s">
        <v>2597</v>
      </c>
      <c r="H703" s="0" t="s">
        <v>2596</v>
      </c>
    </row>
    <row r="704" customFormat="false" ht="14.65" hidden="false" customHeight="false" outlineLevel="0" collapsed="false">
      <c r="A704" s="43" t="s">
        <v>1178</v>
      </c>
      <c r="B704" s="44" t="s">
        <v>2598</v>
      </c>
      <c r="C704" s="45" t="s">
        <v>2599</v>
      </c>
      <c r="F704" s="0" t="str">
        <f aca="false">_xlfn.CONCAT(G704,H704)</f>
        <v>AHCN1009FORMUL Y EVALUA DE PROYECTOS</v>
      </c>
      <c r="G704" s="0" t="s">
        <v>2600</v>
      </c>
      <c r="H704" s="0" t="s">
        <v>2599</v>
      </c>
    </row>
    <row r="705" customFormat="false" ht="14.65" hidden="false" customHeight="false" outlineLevel="0" collapsed="false">
      <c r="A705" s="43" t="s">
        <v>1408</v>
      </c>
      <c r="B705" s="44" t="s">
        <v>1184</v>
      </c>
      <c r="C705" s="45" t="s">
        <v>2601</v>
      </c>
      <c r="F705" s="0" t="str">
        <f aca="false">_xlfn.CONCAT(G705,H705)</f>
        <v>INIG2001PRODUCTIVIDAD</v>
      </c>
      <c r="G705" s="0" t="s">
        <v>2602</v>
      </c>
      <c r="H705" s="0" t="s">
        <v>2601</v>
      </c>
    </row>
    <row r="706" customFormat="false" ht="14.65" hidden="false" customHeight="false" outlineLevel="0" collapsed="false">
      <c r="A706" s="43" t="s">
        <v>1408</v>
      </c>
      <c r="B706" s="44" t="s">
        <v>1187</v>
      </c>
      <c r="C706" s="45" t="s">
        <v>2603</v>
      </c>
      <c r="F706" s="0" t="str">
        <f aca="false">_xlfn.CONCAT(G706,H706)</f>
        <v>INIG2002DISENO DE EXPERIMENTOS</v>
      </c>
      <c r="G706" s="0" t="s">
        <v>2604</v>
      </c>
      <c r="H706" s="0" t="s">
        <v>2603</v>
      </c>
    </row>
    <row r="707" customFormat="false" ht="14.65" hidden="false" customHeight="false" outlineLevel="0" collapsed="false">
      <c r="A707" s="43" t="s">
        <v>1408</v>
      </c>
      <c r="B707" s="44" t="s">
        <v>1190</v>
      </c>
      <c r="C707" s="45" t="s">
        <v>2605</v>
      </c>
      <c r="F707" s="0" t="str">
        <f aca="false">_xlfn.CONCAT(G707,H707)</f>
        <v>INIG2003MICROECONOMIA I</v>
      </c>
      <c r="G707" s="0" t="s">
        <v>2606</v>
      </c>
      <c r="H707" s="0" t="s">
        <v>2605</v>
      </c>
    </row>
    <row r="708" customFormat="false" ht="14.65" hidden="false" customHeight="false" outlineLevel="0" collapsed="false">
      <c r="A708" s="43" t="s">
        <v>1408</v>
      </c>
      <c r="B708" s="44" t="s">
        <v>1193</v>
      </c>
      <c r="C708" s="45" t="s">
        <v>2607</v>
      </c>
      <c r="F708" s="0" t="str">
        <f aca="false">_xlfn.CONCAT(G708,H708)</f>
        <v>INIG2004PSICO Y COMPORTAMIENTO ORGANIZ</v>
      </c>
      <c r="G708" s="0" t="s">
        <v>2608</v>
      </c>
      <c r="H708" s="0" t="s">
        <v>2607</v>
      </c>
    </row>
    <row r="709" customFormat="false" ht="14.65" hidden="false" customHeight="false" outlineLevel="0" collapsed="false">
      <c r="A709" s="43" t="s">
        <v>1408</v>
      </c>
      <c r="B709" s="44" t="s">
        <v>1196</v>
      </c>
      <c r="C709" s="45" t="s">
        <v>2609</v>
      </c>
      <c r="F709" s="0" t="str">
        <f aca="false">_xlfn.CONCAT(G709,H709)</f>
        <v>INIG2005SIMULACION INDUST (TEO Y LAB.)</v>
      </c>
      <c r="G709" s="0" t="s">
        <v>2610</v>
      </c>
      <c r="H709" s="0" t="s">
        <v>2609</v>
      </c>
    </row>
    <row r="710" customFormat="false" ht="14.65" hidden="false" customHeight="false" outlineLevel="0" collapsed="false">
      <c r="A710" s="43" t="s">
        <v>1408</v>
      </c>
      <c r="B710" s="44" t="s">
        <v>1199</v>
      </c>
      <c r="C710" s="45" t="s">
        <v>2611</v>
      </c>
      <c r="F710" s="0" t="str">
        <f aca="false">_xlfn.CONCAT(G710,H710)</f>
        <v>INIG2006LOGISTICA</v>
      </c>
      <c r="G710" s="0" t="s">
        <v>2612</v>
      </c>
      <c r="H710" s="0" t="s">
        <v>2611</v>
      </c>
    </row>
    <row r="711" customFormat="false" ht="14.65" hidden="false" customHeight="false" outlineLevel="0" collapsed="false">
      <c r="A711" s="43" t="s">
        <v>1408</v>
      </c>
      <c r="B711" s="44" t="s">
        <v>1202</v>
      </c>
      <c r="C711" s="45" t="s">
        <v>1830</v>
      </c>
      <c r="F711" s="0" t="str">
        <f aca="false">_xlfn.CONCAT(G711,H711)</f>
        <v>INIG2007PRACTICA PROFESIONAL</v>
      </c>
      <c r="G711" s="0" t="s">
        <v>2613</v>
      </c>
      <c r="H711" s="0" t="s">
        <v>1830</v>
      </c>
    </row>
    <row r="712" customFormat="false" ht="14.65" hidden="false" customHeight="false" outlineLevel="0" collapsed="false">
      <c r="A712" s="43" t="s">
        <v>1370</v>
      </c>
      <c r="B712" s="44" t="s">
        <v>1075</v>
      </c>
      <c r="C712" s="45" t="s">
        <v>2614</v>
      </c>
      <c r="F712" s="0" t="str">
        <f aca="false">_xlfn.CONCAT(G712,H712)</f>
        <v>INTI0001MATEMATICA DISCRETA</v>
      </c>
      <c r="G712" s="0" t="s">
        <v>2615</v>
      </c>
      <c r="H712" s="0" t="s">
        <v>2614</v>
      </c>
    </row>
    <row r="713" customFormat="false" ht="14.65" hidden="false" customHeight="false" outlineLevel="0" collapsed="false">
      <c r="A713" s="43" t="s">
        <v>1370</v>
      </c>
      <c r="B713" s="44" t="s">
        <v>1078</v>
      </c>
      <c r="C713" s="45" t="s">
        <v>2616</v>
      </c>
      <c r="F713" s="0" t="str">
        <f aca="false">_xlfn.CONCAT(G713,H713)</f>
        <v>INTI0002INTRODUC A LOS SIST DE INFORM</v>
      </c>
      <c r="G713" s="0" t="s">
        <v>2617</v>
      </c>
      <c r="H713" s="0" t="s">
        <v>2616</v>
      </c>
    </row>
    <row r="714" customFormat="false" ht="14.65" hidden="false" customHeight="false" outlineLevel="0" collapsed="false">
      <c r="A714" s="43" t="s">
        <v>1370</v>
      </c>
      <c r="B714" s="44" t="s">
        <v>1081</v>
      </c>
      <c r="C714" s="45" t="s">
        <v>1882</v>
      </c>
      <c r="F714" s="0" t="str">
        <f aca="false">_xlfn.CONCAT(G714,H714)</f>
        <v>INTI0003PROGRAMACION I</v>
      </c>
      <c r="G714" s="0" t="s">
        <v>2618</v>
      </c>
      <c r="H714" s="0" t="s">
        <v>1882</v>
      </c>
    </row>
    <row r="715" customFormat="false" ht="14.65" hidden="false" customHeight="false" outlineLevel="0" collapsed="false">
      <c r="A715" s="43" t="s">
        <v>1370</v>
      </c>
      <c r="B715" s="44" t="s">
        <v>1162</v>
      </c>
      <c r="C715" s="45" t="s">
        <v>1886</v>
      </c>
      <c r="F715" s="0" t="str">
        <f aca="false">_xlfn.CONCAT(G715,H715)</f>
        <v>INTI0004PROGRAMACION II</v>
      </c>
      <c r="G715" s="0" t="s">
        <v>2619</v>
      </c>
      <c r="H715" s="0" t="s">
        <v>1886</v>
      </c>
    </row>
    <row r="716" customFormat="false" ht="14.65" hidden="false" customHeight="false" outlineLevel="0" collapsed="false">
      <c r="A716" s="43" t="s">
        <v>1370</v>
      </c>
      <c r="B716" s="44" t="s">
        <v>1084</v>
      </c>
      <c r="C716" s="45" t="s">
        <v>2620</v>
      </c>
      <c r="F716" s="0" t="str">
        <f aca="false">_xlfn.CONCAT(G716,H716)</f>
        <v>INTI0005ESTRUCT DE DATOS Y ALGORITMOS</v>
      </c>
      <c r="G716" s="0" t="s">
        <v>2621</v>
      </c>
      <c r="H716" s="0" t="s">
        <v>2620</v>
      </c>
    </row>
    <row r="717" customFormat="false" ht="14.65" hidden="false" customHeight="false" outlineLevel="0" collapsed="false">
      <c r="A717" s="43" t="s">
        <v>1370</v>
      </c>
      <c r="B717" s="44" t="s">
        <v>1087</v>
      </c>
      <c r="C717" s="45" t="s">
        <v>1893</v>
      </c>
      <c r="F717" s="0" t="str">
        <f aca="false">_xlfn.CONCAT(G717,H717)</f>
        <v>INTI0006PROGRAMACION III</v>
      </c>
      <c r="G717" s="0" t="s">
        <v>2622</v>
      </c>
      <c r="H717" s="0" t="s">
        <v>1893</v>
      </c>
    </row>
    <row r="718" customFormat="false" ht="14.65" hidden="false" customHeight="false" outlineLevel="0" collapsed="false">
      <c r="A718" s="43" t="s">
        <v>1370</v>
      </c>
      <c r="B718" s="44" t="s">
        <v>1090</v>
      </c>
      <c r="C718" s="45" t="s">
        <v>2623</v>
      </c>
      <c r="F718" s="0" t="str">
        <f aca="false">_xlfn.CONCAT(G718,H718)</f>
        <v>INTI0007BASE DE DATOS I</v>
      </c>
      <c r="G718" s="0" t="s">
        <v>2624</v>
      </c>
      <c r="H718" s="0" t="s">
        <v>2623</v>
      </c>
    </row>
    <row r="719" customFormat="false" ht="14.65" hidden="false" customHeight="false" outlineLevel="0" collapsed="false">
      <c r="A719" s="43" t="s">
        <v>1370</v>
      </c>
      <c r="B719" s="44" t="s">
        <v>1093</v>
      </c>
      <c r="C719" s="45" t="s">
        <v>2625</v>
      </c>
      <c r="F719" s="0" t="str">
        <f aca="false">_xlfn.CONCAT(G719,H719)</f>
        <v>INTI0008ARQUITECTURA DE COMPUTADORAS</v>
      </c>
      <c r="G719" s="0" t="s">
        <v>2626</v>
      </c>
      <c r="H719" s="0" t="s">
        <v>2625</v>
      </c>
    </row>
    <row r="720" customFormat="false" ht="14.65" hidden="false" customHeight="false" outlineLevel="0" collapsed="false">
      <c r="A720" s="43" t="s">
        <v>1370</v>
      </c>
      <c r="B720" s="44" t="s">
        <v>1096</v>
      </c>
      <c r="C720" s="45" t="s">
        <v>2627</v>
      </c>
      <c r="F720" s="0" t="str">
        <f aca="false">_xlfn.CONCAT(G720,H720)</f>
        <v>INTI0009HABIL  LA COMUNI ORAL Y ESCRIT</v>
      </c>
      <c r="G720" s="0" t="s">
        <v>2628</v>
      </c>
      <c r="H720" s="0" t="s">
        <v>2627</v>
      </c>
    </row>
    <row r="721" customFormat="false" ht="14.65" hidden="false" customHeight="false" outlineLevel="0" collapsed="false">
      <c r="A721" s="43" t="s">
        <v>1370</v>
      </c>
      <c r="B721" s="44" t="s">
        <v>1099</v>
      </c>
      <c r="C721" s="45" t="s">
        <v>2629</v>
      </c>
      <c r="F721" s="0" t="str">
        <f aca="false">_xlfn.CONCAT(G721,H721)</f>
        <v>INTI0010PROGRAMACION IV</v>
      </c>
      <c r="G721" s="0" t="s">
        <v>2630</v>
      </c>
      <c r="H721" s="0" t="s">
        <v>2629</v>
      </c>
    </row>
    <row r="722" customFormat="false" ht="14.65" hidden="false" customHeight="false" outlineLevel="0" collapsed="false">
      <c r="A722" s="43" t="s">
        <v>1370</v>
      </c>
      <c r="B722" s="44" t="s">
        <v>1102</v>
      </c>
      <c r="C722" s="45" t="s">
        <v>2631</v>
      </c>
      <c r="F722" s="0" t="str">
        <f aca="false">_xlfn.CONCAT(G722,H722)</f>
        <v>INTI0011BASES DE DATOS II</v>
      </c>
      <c r="G722" s="0" t="s">
        <v>2632</v>
      </c>
      <c r="H722" s="0" t="s">
        <v>2631</v>
      </c>
    </row>
    <row r="723" customFormat="false" ht="14.65" hidden="false" customHeight="false" outlineLevel="0" collapsed="false">
      <c r="A723" s="43" t="s">
        <v>1370</v>
      </c>
      <c r="B723" s="44" t="s">
        <v>1105</v>
      </c>
      <c r="C723" s="45" t="s">
        <v>2633</v>
      </c>
      <c r="F723" s="0" t="str">
        <f aca="false">_xlfn.CONCAT(G723,H723)</f>
        <v>INTI0012INGEN DE REQUERIM Y CALIDAD</v>
      </c>
      <c r="G723" s="0" t="s">
        <v>2634</v>
      </c>
      <c r="H723" s="0" t="s">
        <v>2633</v>
      </c>
    </row>
    <row r="724" customFormat="false" ht="14.65" hidden="false" customHeight="false" outlineLevel="0" collapsed="false">
      <c r="A724" s="43" t="s">
        <v>1370</v>
      </c>
      <c r="B724" s="44" t="s">
        <v>1108</v>
      </c>
      <c r="C724" s="45" t="s">
        <v>2635</v>
      </c>
      <c r="F724" s="0" t="str">
        <f aca="false">_xlfn.CONCAT(G724,H724)</f>
        <v>INTI0013PROGRAMACION AVANZADA</v>
      </c>
      <c r="G724" s="0" t="s">
        <v>2636</v>
      </c>
      <c r="H724" s="0" t="s">
        <v>2635</v>
      </c>
    </row>
    <row r="725" customFormat="false" ht="14.65" hidden="false" customHeight="false" outlineLevel="0" collapsed="false">
      <c r="A725" s="43" t="s">
        <v>1370</v>
      </c>
      <c r="B725" s="44" t="s">
        <v>1111</v>
      </c>
      <c r="C725" s="45" t="s">
        <v>2637</v>
      </c>
      <c r="F725" s="0" t="str">
        <f aca="false">_xlfn.CONCAT(G725,H725)</f>
        <v>INTI0014METOD DE DESA DE SOFTWARE I</v>
      </c>
      <c r="G725" s="0" t="s">
        <v>2638</v>
      </c>
      <c r="H725" s="0" t="s">
        <v>2637</v>
      </c>
    </row>
    <row r="726" customFormat="false" ht="14.65" hidden="false" customHeight="false" outlineLevel="0" collapsed="false">
      <c r="A726" s="43" t="s">
        <v>1370</v>
      </c>
      <c r="B726" s="44" t="s">
        <v>1114</v>
      </c>
      <c r="C726" s="45" t="s">
        <v>2639</v>
      </c>
      <c r="F726" s="0" t="str">
        <f aca="false">_xlfn.CONCAT(G726,H726)</f>
        <v>INTI0015SISTEMAS OPERATIVOS</v>
      </c>
      <c r="G726" s="0" t="s">
        <v>2640</v>
      </c>
      <c r="H726" s="0" t="s">
        <v>2639</v>
      </c>
    </row>
    <row r="727" customFormat="false" ht="14.65" hidden="false" customHeight="false" outlineLevel="0" collapsed="false">
      <c r="A727" s="43" t="s">
        <v>1370</v>
      </c>
      <c r="B727" s="44" t="s">
        <v>1117</v>
      </c>
      <c r="C727" s="45" t="s">
        <v>1905</v>
      </c>
      <c r="F727" s="0" t="str">
        <f aca="false">_xlfn.CONCAT(G727,H727)</f>
        <v>INTI0016TELEPROCESO DE REDES</v>
      </c>
      <c r="G727" s="0" t="s">
        <v>2641</v>
      </c>
      <c r="H727" s="0" t="s">
        <v>1905</v>
      </c>
    </row>
    <row r="728" customFormat="false" ht="14.65" hidden="false" customHeight="false" outlineLevel="0" collapsed="false">
      <c r="A728" s="43" t="s">
        <v>1370</v>
      </c>
      <c r="B728" s="44" t="s">
        <v>1120</v>
      </c>
      <c r="C728" s="45" t="s">
        <v>2642</v>
      </c>
      <c r="F728" s="0" t="str">
        <f aca="false">_xlfn.CONCAT(G728,H728)</f>
        <v>INTI0017DESA DE APLIC DE ULTIMA GEN</v>
      </c>
      <c r="G728" s="0" t="s">
        <v>2643</v>
      </c>
      <c r="H728" s="0" t="s">
        <v>2642</v>
      </c>
    </row>
    <row r="729" customFormat="false" ht="14.65" hidden="false" customHeight="false" outlineLevel="0" collapsed="false">
      <c r="A729" s="43" t="s">
        <v>1370</v>
      </c>
      <c r="B729" s="44" t="s">
        <v>1123</v>
      </c>
      <c r="C729" s="45" t="s">
        <v>2644</v>
      </c>
      <c r="F729" s="0" t="str">
        <f aca="false">_xlfn.CONCAT(G729,H729)</f>
        <v>INTI0018METOD DE DESA DE SOFTWARE II</v>
      </c>
      <c r="G729" s="0" t="s">
        <v>2645</v>
      </c>
      <c r="H729" s="0" t="s">
        <v>2644</v>
      </c>
    </row>
    <row r="730" customFormat="false" ht="14.65" hidden="false" customHeight="false" outlineLevel="0" collapsed="false">
      <c r="A730" s="43" t="s">
        <v>1370</v>
      </c>
      <c r="B730" s="44" t="s">
        <v>1126</v>
      </c>
      <c r="C730" s="45" t="s">
        <v>2646</v>
      </c>
      <c r="F730" s="0" t="str">
        <f aca="false">_xlfn.CONCAT(G730,H730)</f>
        <v>INTI0019BUENAS PRACT DE LA INDUSTRIA</v>
      </c>
      <c r="G730" s="0" t="s">
        <v>2647</v>
      </c>
      <c r="H730" s="0" t="s">
        <v>2646</v>
      </c>
    </row>
    <row r="731" customFormat="false" ht="14.65" hidden="false" customHeight="false" outlineLevel="0" collapsed="false">
      <c r="A731" s="43" t="s">
        <v>1370</v>
      </c>
      <c r="B731" s="44" t="s">
        <v>1165</v>
      </c>
      <c r="C731" s="45" t="s">
        <v>2648</v>
      </c>
      <c r="F731" s="0" t="str">
        <f aca="false">_xlfn.CONCAT(G731,H731)</f>
        <v>INTI0020ADM DE INFRAESTR TECNO</v>
      </c>
      <c r="G731" s="0" t="s">
        <v>2649</v>
      </c>
      <c r="H731" s="0" t="s">
        <v>2648</v>
      </c>
    </row>
    <row r="732" customFormat="false" ht="14.65" hidden="false" customHeight="false" outlineLevel="0" collapsed="false">
      <c r="A732" s="43" t="s">
        <v>1370</v>
      </c>
      <c r="B732" s="44" t="s">
        <v>1551</v>
      </c>
      <c r="C732" s="45" t="s">
        <v>2650</v>
      </c>
      <c r="F732" s="0" t="str">
        <f aca="false">_xlfn.CONCAT(G732,H732)</f>
        <v>INTI0057CIBERSEGURIDAD</v>
      </c>
      <c r="G732" s="0" t="s">
        <v>2651</v>
      </c>
      <c r="H732" s="0" t="s">
        <v>2650</v>
      </c>
    </row>
    <row r="733" customFormat="false" ht="14.65" hidden="false" customHeight="false" outlineLevel="0" collapsed="false">
      <c r="A733" s="43" t="s">
        <v>1370</v>
      </c>
      <c r="B733" s="44" t="s">
        <v>1132</v>
      </c>
      <c r="C733" s="45" t="s">
        <v>2652</v>
      </c>
      <c r="F733" s="0" t="str">
        <f aca="false">_xlfn.CONCAT(G733,H733)</f>
        <v>INTI0022CIENCIA DE DATOS</v>
      </c>
      <c r="G733" s="0" t="s">
        <v>2653</v>
      </c>
      <c r="H733" s="0" t="s">
        <v>2652</v>
      </c>
    </row>
    <row r="734" customFormat="false" ht="14.65" hidden="false" customHeight="false" outlineLevel="0" collapsed="false">
      <c r="A734" s="43" t="s">
        <v>1370</v>
      </c>
      <c r="B734" s="44" t="s">
        <v>1135</v>
      </c>
      <c r="C734" s="45" t="s">
        <v>2533</v>
      </c>
      <c r="F734" s="0" t="str">
        <f aca="false">_xlfn.CONCAT(G734,H734)</f>
        <v>INTI0023ELECTIVA I</v>
      </c>
      <c r="G734" s="0" t="s">
        <v>2654</v>
      </c>
      <c r="H734" s="0" t="s">
        <v>2533</v>
      </c>
    </row>
    <row r="735" customFormat="false" ht="14.65" hidden="false" customHeight="false" outlineLevel="0" collapsed="false">
      <c r="A735" s="43" t="s">
        <v>1370</v>
      </c>
      <c r="B735" s="44" t="s">
        <v>1168</v>
      </c>
      <c r="C735" s="45" t="s">
        <v>2655</v>
      </c>
      <c r="F735" s="0" t="str">
        <f aca="false">_xlfn.CONCAT(G735,H735)</f>
        <v>INTI0024ADM Y CONTR DE PROYEC DE SIST</v>
      </c>
      <c r="G735" s="0" t="s">
        <v>2656</v>
      </c>
      <c r="H735" s="0" t="s">
        <v>2655</v>
      </c>
    </row>
    <row r="736" customFormat="false" ht="14.65" hidden="false" customHeight="false" outlineLevel="0" collapsed="false">
      <c r="A736" s="43" t="s">
        <v>1370</v>
      </c>
      <c r="B736" s="44" t="s">
        <v>1138</v>
      </c>
      <c r="C736" s="45" t="s">
        <v>2657</v>
      </c>
      <c r="F736" s="0" t="str">
        <f aca="false">_xlfn.CONCAT(G736,H736)</f>
        <v>INTI0025APRENDIZAJE AUTOMATICO</v>
      </c>
      <c r="G736" s="0" t="s">
        <v>2658</v>
      </c>
      <c r="H736" s="0" t="s">
        <v>2657</v>
      </c>
    </row>
    <row r="737" customFormat="false" ht="14.65" hidden="false" customHeight="false" outlineLevel="0" collapsed="false">
      <c r="A737" s="43" t="s">
        <v>1370</v>
      </c>
      <c r="B737" s="44" t="s">
        <v>1144</v>
      </c>
      <c r="C737" s="45" t="s">
        <v>2659</v>
      </c>
      <c r="F737" s="0" t="str">
        <f aca="false">_xlfn.CONCAT(G737,H737)</f>
        <v>INTI0026COMPUTACION EN LA NUBE</v>
      </c>
      <c r="G737" s="0" t="s">
        <v>2660</v>
      </c>
      <c r="H737" s="0" t="s">
        <v>2659</v>
      </c>
    </row>
    <row r="738" customFormat="false" ht="14.65" hidden="false" customHeight="false" outlineLevel="0" collapsed="false">
      <c r="A738" s="43" t="s">
        <v>1370</v>
      </c>
      <c r="B738" s="44" t="s">
        <v>1147</v>
      </c>
      <c r="C738" s="45" t="s">
        <v>2661</v>
      </c>
      <c r="F738" s="0" t="str">
        <f aca="false">_xlfn.CONCAT(G738,H738)</f>
        <v>INTI0027ETICA PROFESIONAL PARA TI</v>
      </c>
      <c r="G738" s="0" t="s">
        <v>2662</v>
      </c>
      <c r="H738" s="0" t="s">
        <v>2661</v>
      </c>
    </row>
    <row r="739" customFormat="false" ht="14.65" hidden="false" customHeight="false" outlineLevel="0" collapsed="false">
      <c r="A739" s="43" t="s">
        <v>1370</v>
      </c>
      <c r="B739" s="44" t="s">
        <v>1153</v>
      </c>
      <c r="C739" s="45" t="s">
        <v>2663</v>
      </c>
      <c r="F739" s="0" t="str">
        <f aca="false">_xlfn.CONCAT(G739,H739)</f>
        <v>INTI0028GEST Y CONTROL INTERNO DE TI</v>
      </c>
      <c r="G739" s="0" t="s">
        <v>2664</v>
      </c>
      <c r="H739" s="0" t="s">
        <v>2663</v>
      </c>
    </row>
    <row r="740" customFormat="false" ht="14.65" hidden="false" customHeight="false" outlineLevel="0" collapsed="false">
      <c r="A740" s="43" t="s">
        <v>1370</v>
      </c>
      <c r="B740" s="44" t="s">
        <v>1141</v>
      </c>
      <c r="C740" s="45" t="s">
        <v>2665</v>
      </c>
      <c r="F740" s="0" t="str">
        <f aca="false">_xlfn.CONCAT(G740,H740)</f>
        <v>INTI0029FUNDAM DE ARQUITECT DE SOLUC</v>
      </c>
      <c r="G740" s="0" t="s">
        <v>2666</v>
      </c>
      <c r="H740" s="0" t="s">
        <v>2665</v>
      </c>
    </row>
    <row r="741" customFormat="false" ht="14.65" hidden="false" customHeight="false" outlineLevel="0" collapsed="false">
      <c r="A741" s="43" t="s">
        <v>1370</v>
      </c>
      <c r="B741" s="44" t="s">
        <v>1567</v>
      </c>
      <c r="C741" s="45" t="s">
        <v>2667</v>
      </c>
      <c r="F741" s="0" t="str">
        <f aca="false">_xlfn.CONCAT(G741,H741)</f>
        <v>INTI0061GERENCIA DE PROYECTOS</v>
      </c>
      <c r="G741" s="0" t="s">
        <v>2668</v>
      </c>
      <c r="H741" s="0" t="s">
        <v>2667</v>
      </c>
    </row>
    <row r="742" customFormat="false" ht="14.65" hidden="false" customHeight="false" outlineLevel="0" collapsed="false">
      <c r="A742" s="43" t="s">
        <v>1370</v>
      </c>
      <c r="B742" s="44" t="s">
        <v>1156</v>
      </c>
      <c r="C742" s="45" t="s">
        <v>2546</v>
      </c>
      <c r="F742" s="0" t="str">
        <f aca="false">_xlfn.CONCAT(G742,H742)</f>
        <v>INTI0031ELECTIVA II</v>
      </c>
      <c r="G742" s="0" t="s">
        <v>2669</v>
      </c>
      <c r="H742" s="0" t="s">
        <v>2546</v>
      </c>
    </row>
    <row r="743" customFormat="false" ht="14.65" hidden="false" customHeight="false" outlineLevel="0" collapsed="false">
      <c r="A743" s="43" t="s">
        <v>1370</v>
      </c>
      <c r="B743" s="44" t="s">
        <v>1159</v>
      </c>
      <c r="C743" s="45" t="s">
        <v>1521</v>
      </c>
      <c r="F743" s="0" t="str">
        <f aca="false">_xlfn.CONCAT(G743,H743)</f>
        <v>INTI0032LOGICA Y ALGORITMOS</v>
      </c>
      <c r="G743" s="0" t="s">
        <v>2670</v>
      </c>
      <c r="H743" s="0" t="s">
        <v>1521</v>
      </c>
    </row>
    <row r="744" customFormat="false" ht="14.65" hidden="false" customHeight="false" outlineLevel="0" collapsed="false">
      <c r="A744" s="43" t="s">
        <v>1370</v>
      </c>
      <c r="B744" s="44" t="s">
        <v>1415</v>
      </c>
      <c r="C744" s="45" t="s">
        <v>1873</v>
      </c>
      <c r="F744" s="0" t="str">
        <f aca="false">_xlfn.CONCAT(G744,H744)</f>
        <v>INTI0033INTRODUCCION A LA INFORMATICA</v>
      </c>
      <c r="G744" s="0" t="s">
        <v>2671</v>
      </c>
      <c r="H744" s="0" t="s">
        <v>1873</v>
      </c>
    </row>
    <row r="745" customFormat="false" ht="14.65" hidden="false" customHeight="false" outlineLevel="0" collapsed="false">
      <c r="A745" s="43" t="s">
        <v>1370</v>
      </c>
      <c r="B745" s="44" t="s">
        <v>1395</v>
      </c>
      <c r="C745" s="45" t="s">
        <v>2672</v>
      </c>
      <c r="F745" s="0" t="str">
        <f aca="false">_xlfn.CONCAT(G745,H745)</f>
        <v>INTI0034ORGANIZ ARCHI Y ESTRUCT DE DAT</v>
      </c>
      <c r="G745" s="0" t="s">
        <v>2673</v>
      </c>
      <c r="H745" s="0" t="s">
        <v>2672</v>
      </c>
    </row>
    <row r="746" customFormat="false" ht="14.65" hidden="false" customHeight="false" outlineLevel="0" collapsed="false">
      <c r="A746" s="43" t="s">
        <v>1370</v>
      </c>
      <c r="B746" s="44" t="s">
        <v>1622</v>
      </c>
      <c r="C746" s="45" t="s">
        <v>2674</v>
      </c>
      <c r="F746" s="0" t="str">
        <f aca="false">_xlfn.CONCAT(G746,H746)</f>
        <v>INTI0035ORGANIZACION DE COMPUTADORAS</v>
      </c>
      <c r="G746" s="0" t="s">
        <v>2675</v>
      </c>
      <c r="H746" s="0" t="s">
        <v>2674</v>
      </c>
    </row>
    <row r="747" customFormat="false" ht="14.65" hidden="false" customHeight="false" outlineLevel="0" collapsed="false">
      <c r="A747" s="43" t="s">
        <v>1370</v>
      </c>
      <c r="B747" s="44" t="s">
        <v>1482</v>
      </c>
      <c r="C747" s="45" t="s">
        <v>1877</v>
      </c>
      <c r="F747" s="0" t="str">
        <f aca="false">_xlfn.CONCAT(G747,H747)</f>
        <v>INTI0036UTILIZACION DEL SOFTWARE</v>
      </c>
      <c r="G747" s="0" t="s">
        <v>2676</v>
      </c>
      <c r="H747" s="0" t="s">
        <v>1877</v>
      </c>
    </row>
    <row r="748" customFormat="false" ht="14.65" hidden="false" customHeight="false" outlineLevel="0" collapsed="false">
      <c r="A748" s="43" t="s">
        <v>1370</v>
      </c>
      <c r="B748" s="44" t="s">
        <v>1449</v>
      </c>
      <c r="C748" s="45" t="s">
        <v>2677</v>
      </c>
      <c r="F748" s="0" t="str">
        <f aca="false">_xlfn.CONCAT(G748,H748)</f>
        <v>INTI0037ORGANIZACION DE ESTRUCTURAS</v>
      </c>
      <c r="G748" s="0" t="s">
        <v>2678</v>
      </c>
      <c r="H748" s="0" t="s">
        <v>2677</v>
      </c>
    </row>
    <row r="749" customFormat="false" ht="14.65" hidden="false" customHeight="false" outlineLevel="0" collapsed="false">
      <c r="A749" s="43" t="s">
        <v>1370</v>
      </c>
      <c r="B749" s="44" t="s">
        <v>1485</v>
      </c>
      <c r="C749" s="45" t="s">
        <v>2679</v>
      </c>
      <c r="F749" s="0" t="str">
        <f aca="false">_xlfn.CONCAT(G749,H749)</f>
        <v>INTI0038BASES DE DATOS</v>
      </c>
      <c r="G749" s="0" t="s">
        <v>2680</v>
      </c>
      <c r="H749" s="0" t="s">
        <v>2679</v>
      </c>
    </row>
    <row r="750" customFormat="false" ht="14.65" hidden="false" customHeight="false" outlineLevel="0" collapsed="false">
      <c r="A750" s="43" t="s">
        <v>1370</v>
      </c>
      <c r="B750" s="44" t="s">
        <v>1496</v>
      </c>
      <c r="C750" s="45" t="s">
        <v>2629</v>
      </c>
      <c r="F750" s="0" t="str">
        <f aca="false">_xlfn.CONCAT(G750,H750)</f>
        <v>INTI0055PROGRAMACION IV</v>
      </c>
      <c r="G750" s="0" t="s">
        <v>2681</v>
      </c>
      <c r="H750" s="0" t="s">
        <v>2629</v>
      </c>
    </row>
    <row r="751" customFormat="false" ht="14.65" hidden="false" customHeight="false" outlineLevel="0" collapsed="false">
      <c r="A751" s="43" t="s">
        <v>1370</v>
      </c>
      <c r="B751" s="44" t="s">
        <v>1488</v>
      </c>
      <c r="C751" s="45" t="s">
        <v>1895</v>
      </c>
      <c r="F751" s="0" t="str">
        <f aca="false">_xlfn.CONCAT(G751,H751)</f>
        <v>INTI0039ANALISIS DE SISTEMAS</v>
      </c>
      <c r="G751" s="0" t="s">
        <v>2682</v>
      </c>
      <c r="H751" s="0" t="s">
        <v>1895</v>
      </c>
    </row>
    <row r="752" customFormat="false" ht="14.65" hidden="false" customHeight="false" outlineLevel="0" collapsed="false">
      <c r="A752" s="43" t="s">
        <v>1370</v>
      </c>
      <c r="B752" s="44" t="s">
        <v>1929</v>
      </c>
      <c r="C752" s="45" t="s">
        <v>2683</v>
      </c>
      <c r="F752" s="0" t="str">
        <f aca="false">_xlfn.CONCAT(G752,H752)</f>
        <v>INTI0040DISENO Y DESAR DE APLIC COMERC</v>
      </c>
      <c r="G752" s="0" t="s">
        <v>2684</v>
      </c>
      <c r="H752" s="0" t="s">
        <v>2683</v>
      </c>
    </row>
    <row r="753" customFormat="false" ht="14.65" hidden="false" customHeight="false" outlineLevel="0" collapsed="false">
      <c r="A753" s="43" t="s">
        <v>1370</v>
      </c>
      <c r="B753" s="44" t="s">
        <v>1473</v>
      </c>
      <c r="C753" s="45" t="s">
        <v>2685</v>
      </c>
      <c r="F753" s="0" t="str">
        <f aca="false">_xlfn.CONCAT(G753,H753)</f>
        <v>INTI0041MODELOS DE PROGR DE SISTEMAS</v>
      </c>
      <c r="G753" s="0" t="s">
        <v>2686</v>
      </c>
      <c r="H753" s="0" t="s">
        <v>2685</v>
      </c>
    </row>
    <row r="754" customFormat="false" ht="14.65" hidden="false" customHeight="false" outlineLevel="0" collapsed="false">
      <c r="A754" s="43" t="s">
        <v>1370</v>
      </c>
      <c r="B754" s="44" t="s">
        <v>1612</v>
      </c>
      <c r="C754" s="45" t="s">
        <v>1897</v>
      </c>
      <c r="F754" s="0" t="str">
        <f aca="false">_xlfn.CONCAT(G754,H754)</f>
        <v>INTI0042TEORIA DE SISTEMAS</v>
      </c>
      <c r="G754" s="0" t="s">
        <v>2687</v>
      </c>
      <c r="H754" s="0" t="s">
        <v>1897</v>
      </c>
    </row>
    <row r="755" customFormat="false" ht="14.65" hidden="false" customHeight="false" outlineLevel="0" collapsed="false">
      <c r="A755" s="43" t="s">
        <v>1370</v>
      </c>
      <c r="B755" s="44" t="s">
        <v>1615</v>
      </c>
      <c r="C755" s="45" t="s">
        <v>2688</v>
      </c>
      <c r="F755" s="0" t="str">
        <f aca="false">_xlfn.CONCAT(G755,H755)</f>
        <v>INTI0043DISENO Y DESARROLLO DE SIST</v>
      </c>
      <c r="G755" s="0" t="s">
        <v>2689</v>
      </c>
      <c r="H755" s="0" t="s">
        <v>2688</v>
      </c>
    </row>
    <row r="756" customFormat="false" ht="14.65" hidden="false" customHeight="false" outlineLevel="0" collapsed="false">
      <c r="A756" s="43" t="s">
        <v>1370</v>
      </c>
      <c r="B756" s="44" t="s">
        <v>1452</v>
      </c>
      <c r="C756" s="45" t="s">
        <v>2635</v>
      </c>
      <c r="F756" s="0" t="str">
        <f aca="false">_xlfn.CONCAT(G756,H756)</f>
        <v>INTI0056PROGRAMACION AVANZADA</v>
      </c>
      <c r="G756" s="0" t="s">
        <v>2690</v>
      </c>
      <c r="H756" s="0" t="s">
        <v>2635</v>
      </c>
    </row>
    <row r="757" customFormat="false" ht="14.65" hidden="false" customHeight="false" outlineLevel="0" collapsed="false">
      <c r="A757" s="43" t="s">
        <v>1370</v>
      </c>
      <c r="B757" s="44" t="s">
        <v>1639</v>
      </c>
      <c r="C757" s="45" t="s">
        <v>2691</v>
      </c>
      <c r="F757" s="0" t="str">
        <f aca="false">_xlfn.CONCAT(G757,H757)</f>
        <v>INTI0044ADM Y CONTROL DE PROY SIST</v>
      </c>
      <c r="G757" s="0" t="s">
        <v>2692</v>
      </c>
      <c r="H757" s="0" t="s">
        <v>2691</v>
      </c>
    </row>
    <row r="758" customFormat="false" ht="14.65" hidden="false" customHeight="false" outlineLevel="0" collapsed="false">
      <c r="A758" s="43" t="s">
        <v>1370</v>
      </c>
      <c r="B758" s="44" t="s">
        <v>1630</v>
      </c>
      <c r="C758" s="45" t="s">
        <v>2693</v>
      </c>
      <c r="F758" s="0" t="str">
        <f aca="false">_xlfn.CONCAT(G758,H758)</f>
        <v>INTI0045METODOS INVEST CIENTIFICA</v>
      </c>
      <c r="G758" s="0" t="s">
        <v>2694</v>
      </c>
      <c r="H758" s="0" t="s">
        <v>2693</v>
      </c>
    </row>
    <row r="759" customFormat="false" ht="14.65" hidden="false" customHeight="false" outlineLevel="0" collapsed="false">
      <c r="A759" s="43" t="s">
        <v>1370</v>
      </c>
      <c r="B759" s="44" t="s">
        <v>1634</v>
      </c>
      <c r="C759" s="45" t="s">
        <v>2695</v>
      </c>
      <c r="F759" s="0" t="str">
        <f aca="false">_xlfn.CONCAT(G759,H759)</f>
        <v>INTI0046ADMINIST DE CENTROS DE COMPUTO</v>
      </c>
      <c r="G759" s="0" t="s">
        <v>2696</v>
      </c>
      <c r="H759" s="0" t="s">
        <v>2695</v>
      </c>
    </row>
    <row r="760" customFormat="false" ht="14.65" hidden="false" customHeight="false" outlineLevel="0" collapsed="false">
      <c r="A760" s="43" t="s">
        <v>1609</v>
      </c>
      <c r="B760" s="44" t="s">
        <v>1075</v>
      </c>
      <c r="C760" s="45" t="s">
        <v>2697</v>
      </c>
      <c r="F760" s="0" t="str">
        <f aca="false">_xlfn.CONCAT(G760,H760)</f>
        <v>CJJU0001TEORIA GENERAL DEL DERECHO</v>
      </c>
      <c r="G760" s="0" t="s">
        <v>2698</v>
      </c>
      <c r="H760" s="0" t="s">
        <v>2697</v>
      </c>
    </row>
    <row r="761" customFormat="false" ht="14.65" hidden="false" customHeight="false" outlineLevel="0" collapsed="false">
      <c r="A761" s="43" t="s">
        <v>1609</v>
      </c>
      <c r="B761" s="44" t="s">
        <v>1078</v>
      </c>
      <c r="C761" s="45" t="s">
        <v>795</v>
      </c>
      <c r="F761" s="0" t="str">
        <f aca="false">_xlfn.CONCAT(G761,H761)</f>
        <v>CJJU0002HISTORIA DEL DERECHO</v>
      </c>
      <c r="G761" s="0" t="s">
        <v>2699</v>
      </c>
      <c r="H761" s="0" t="s">
        <v>795</v>
      </c>
    </row>
    <row r="762" customFormat="false" ht="14.65" hidden="false" customHeight="false" outlineLevel="0" collapsed="false">
      <c r="A762" s="43" t="s">
        <v>1609</v>
      </c>
      <c r="B762" s="44" t="s">
        <v>1081</v>
      </c>
      <c r="C762" s="45" t="s">
        <v>322</v>
      </c>
      <c r="F762" s="0" t="str">
        <f aca="false">_xlfn.CONCAT(G762,H762)</f>
        <v>CJJU0003DERECHO ROMANO</v>
      </c>
      <c r="G762" s="0" t="s">
        <v>2700</v>
      </c>
      <c r="H762" s="0" t="s">
        <v>322</v>
      </c>
    </row>
    <row r="763" customFormat="false" ht="14.65" hidden="false" customHeight="false" outlineLevel="0" collapsed="false">
      <c r="A763" s="43" t="s">
        <v>1609</v>
      </c>
      <c r="B763" s="44" t="s">
        <v>1162</v>
      </c>
      <c r="C763" s="45" t="s">
        <v>2701</v>
      </c>
      <c r="F763" s="0" t="str">
        <f aca="false">_xlfn.CONCAT(G763,H763)</f>
        <v>CJJU0004INVEST EN CIENCIAS JURIDICAS</v>
      </c>
      <c r="G763" s="0" t="s">
        <v>2702</v>
      </c>
      <c r="H763" s="0" t="s">
        <v>2701</v>
      </c>
    </row>
    <row r="764" customFormat="false" ht="14.65" hidden="false" customHeight="false" outlineLevel="0" collapsed="false">
      <c r="A764" s="43" t="s">
        <v>1609</v>
      </c>
      <c r="B764" s="44" t="s">
        <v>1084</v>
      </c>
      <c r="C764" s="45" t="s">
        <v>276</v>
      </c>
      <c r="F764" s="0" t="str">
        <f aca="false">_xlfn.CONCAT(G764,H764)</f>
        <v>CJJU0005DERECHO PRIVADO I</v>
      </c>
      <c r="G764" s="0" t="s">
        <v>2703</v>
      </c>
      <c r="H764" s="0" t="s">
        <v>276</v>
      </c>
    </row>
    <row r="765" customFormat="false" ht="14.65" hidden="false" customHeight="false" outlineLevel="0" collapsed="false">
      <c r="A765" s="43" t="s">
        <v>1609</v>
      </c>
      <c r="B765" s="44" t="s">
        <v>1087</v>
      </c>
      <c r="C765" s="45" t="s">
        <v>2704</v>
      </c>
      <c r="F765" s="0" t="str">
        <f aca="false">_xlfn.CONCAT(G765,H765)</f>
        <v>CJJU0006FILOSOFIA DEL DERECHO</v>
      </c>
      <c r="G765" s="0" t="s">
        <v>2705</v>
      </c>
      <c r="H765" s="0" t="s">
        <v>2704</v>
      </c>
    </row>
    <row r="766" customFormat="false" ht="14.65" hidden="false" customHeight="false" outlineLevel="0" collapsed="false">
      <c r="A766" s="43" t="s">
        <v>1609</v>
      </c>
      <c r="B766" s="44" t="s">
        <v>1090</v>
      </c>
      <c r="C766" s="45" t="s">
        <v>2706</v>
      </c>
      <c r="F766" s="0" t="str">
        <f aca="false">_xlfn.CONCAT(G766,H766)</f>
        <v>CJJU0007DERECHO PUBLICO</v>
      </c>
      <c r="G766" s="0" t="s">
        <v>2707</v>
      </c>
      <c r="H766" s="0" t="s">
        <v>2706</v>
      </c>
    </row>
    <row r="767" customFormat="false" ht="14.65" hidden="false" customHeight="false" outlineLevel="0" collapsed="false">
      <c r="A767" s="43" t="s">
        <v>1609</v>
      </c>
      <c r="B767" s="44" t="s">
        <v>1093</v>
      </c>
      <c r="C767" s="45" t="s">
        <v>215</v>
      </c>
      <c r="F767" s="0" t="str">
        <f aca="false">_xlfn.CONCAT(G767,H767)</f>
        <v>CJJU0008DERECHO CONSTITUCIONAL I</v>
      </c>
      <c r="G767" s="0" t="s">
        <v>2708</v>
      </c>
      <c r="H767" s="0" t="s">
        <v>215</v>
      </c>
    </row>
    <row r="768" customFormat="false" ht="14.65" hidden="false" customHeight="false" outlineLevel="0" collapsed="false">
      <c r="A768" s="43" t="s">
        <v>1609</v>
      </c>
      <c r="B768" s="44" t="s">
        <v>1096</v>
      </c>
      <c r="C768" s="45" t="s">
        <v>280</v>
      </c>
      <c r="F768" s="0" t="str">
        <f aca="false">_xlfn.CONCAT(G768,H768)</f>
        <v>CJJU0009DERECHO PRIVADO II</v>
      </c>
      <c r="G768" s="0" t="s">
        <v>2709</v>
      </c>
      <c r="H768" s="0" t="s">
        <v>280</v>
      </c>
    </row>
    <row r="769" customFormat="false" ht="14.65" hidden="false" customHeight="false" outlineLevel="0" collapsed="false">
      <c r="A769" s="43" t="s">
        <v>1609</v>
      </c>
      <c r="B769" s="44" t="s">
        <v>1099</v>
      </c>
      <c r="C769" s="45" t="s">
        <v>219</v>
      </c>
      <c r="F769" s="0" t="str">
        <f aca="false">_xlfn.CONCAT(G769,H769)</f>
        <v>CJJU0010DERECHO CONSTITUCIONAL II</v>
      </c>
      <c r="G769" s="0" t="s">
        <v>2710</v>
      </c>
      <c r="H769" s="0" t="s">
        <v>219</v>
      </c>
    </row>
    <row r="770" customFormat="false" ht="14.65" hidden="false" customHeight="false" outlineLevel="0" collapsed="false">
      <c r="A770" s="43" t="s">
        <v>1609</v>
      </c>
      <c r="B770" s="44" t="s">
        <v>1102</v>
      </c>
      <c r="C770" s="45" t="s">
        <v>268</v>
      </c>
      <c r="F770" s="0" t="str">
        <f aca="false">_xlfn.CONCAT(G770,H770)</f>
        <v>CJJU0011DERECHO PENAL I</v>
      </c>
      <c r="G770" s="0" t="s">
        <v>2711</v>
      </c>
      <c r="H770" s="0" t="s">
        <v>268</v>
      </c>
    </row>
    <row r="771" customFormat="false" ht="14.65" hidden="false" customHeight="false" outlineLevel="0" collapsed="false">
      <c r="A771" s="43" t="s">
        <v>1609</v>
      </c>
      <c r="B771" s="44" t="s">
        <v>1105</v>
      </c>
      <c r="C771" s="45" t="s">
        <v>2712</v>
      </c>
      <c r="F771" s="0" t="str">
        <f aca="false">_xlfn.CONCAT(G771,H771)</f>
        <v>CJJU0012DERECHO OBLIGACIONES I</v>
      </c>
      <c r="G771" s="0" t="s">
        <v>2713</v>
      </c>
      <c r="H771" s="0" t="s">
        <v>2712</v>
      </c>
    </row>
    <row r="772" customFormat="false" ht="14.65" hidden="false" customHeight="false" outlineLevel="0" collapsed="false">
      <c r="A772" s="43" t="s">
        <v>1609</v>
      </c>
      <c r="B772" s="44" t="s">
        <v>1108</v>
      </c>
      <c r="C772" s="45" t="s">
        <v>223</v>
      </c>
      <c r="F772" s="0" t="str">
        <f aca="false">_xlfn.CONCAT(G772,H772)</f>
        <v>CJJU0013DERECHO DE FAMILIA I</v>
      </c>
      <c r="G772" s="0" t="s">
        <v>2714</v>
      </c>
      <c r="H772" s="0" t="s">
        <v>223</v>
      </c>
    </row>
    <row r="773" customFormat="false" ht="14.65" hidden="false" customHeight="false" outlineLevel="0" collapsed="false">
      <c r="A773" s="43" t="s">
        <v>1609</v>
      </c>
      <c r="B773" s="44" t="s">
        <v>1111</v>
      </c>
      <c r="C773" s="45" t="s">
        <v>272</v>
      </c>
      <c r="F773" s="0" t="str">
        <f aca="false">_xlfn.CONCAT(G773,H773)</f>
        <v>CJJU0014DERECHO PENAL II</v>
      </c>
      <c r="G773" s="0" t="s">
        <v>2715</v>
      </c>
      <c r="H773" s="0" t="s">
        <v>272</v>
      </c>
    </row>
    <row r="774" customFormat="false" ht="14.65" hidden="false" customHeight="false" outlineLevel="0" collapsed="false">
      <c r="A774" s="43" t="s">
        <v>1609</v>
      </c>
      <c r="B774" s="44" t="s">
        <v>1114</v>
      </c>
      <c r="C774" s="45" t="s">
        <v>336</v>
      </c>
      <c r="F774" s="0" t="str">
        <f aca="false">_xlfn.CONCAT(G774,H774)</f>
        <v>CJJU0015DERECHOS REALES I</v>
      </c>
      <c r="G774" s="0" t="s">
        <v>2716</v>
      </c>
      <c r="H774" s="0" t="s">
        <v>336</v>
      </c>
    </row>
    <row r="775" customFormat="false" ht="14.65" hidden="false" customHeight="false" outlineLevel="0" collapsed="false">
      <c r="A775" s="43" t="s">
        <v>1609</v>
      </c>
      <c r="B775" s="44" t="s">
        <v>1117</v>
      </c>
      <c r="C775" s="45" t="s">
        <v>2717</v>
      </c>
      <c r="F775" s="0" t="str">
        <f aca="false">_xlfn.CONCAT(G775,H775)</f>
        <v>CJJU0016DERECHO OBLIGACIONES II</v>
      </c>
      <c r="G775" s="0" t="s">
        <v>2718</v>
      </c>
      <c r="H775" s="0" t="s">
        <v>2717</v>
      </c>
    </row>
    <row r="776" customFormat="false" ht="14.65" hidden="false" customHeight="false" outlineLevel="0" collapsed="false">
      <c r="A776" s="43" t="s">
        <v>1609</v>
      </c>
      <c r="B776" s="44" t="s">
        <v>1120</v>
      </c>
      <c r="C776" s="45" t="s">
        <v>227</v>
      </c>
      <c r="F776" s="0" t="str">
        <f aca="false">_xlfn.CONCAT(G776,H776)</f>
        <v>CJJU0017DERECHO DE FAMILIA II</v>
      </c>
      <c r="G776" s="0" t="s">
        <v>2719</v>
      </c>
      <c r="H776" s="0" t="s">
        <v>227</v>
      </c>
    </row>
    <row r="777" customFormat="false" ht="14.65" hidden="false" customHeight="false" outlineLevel="0" collapsed="false">
      <c r="A777" s="43" t="s">
        <v>1609</v>
      </c>
      <c r="B777" s="44" t="s">
        <v>1123</v>
      </c>
      <c r="C777" s="45" t="s">
        <v>260</v>
      </c>
      <c r="F777" s="0" t="str">
        <f aca="false">_xlfn.CONCAT(G777,H777)</f>
        <v>CJJU0018DERECHO PENAL ESPECIAL I</v>
      </c>
      <c r="G777" s="0" t="s">
        <v>2720</v>
      </c>
      <c r="H777" s="0" t="s">
        <v>260</v>
      </c>
    </row>
    <row r="778" customFormat="false" ht="14.65" hidden="false" customHeight="false" outlineLevel="0" collapsed="false">
      <c r="A778" s="43" t="s">
        <v>1609</v>
      </c>
      <c r="B778" s="44" t="s">
        <v>1126</v>
      </c>
      <c r="C778" s="45" t="s">
        <v>340</v>
      </c>
      <c r="F778" s="0" t="str">
        <f aca="false">_xlfn.CONCAT(G778,H778)</f>
        <v>CJJU0019DERECHOS REALES II</v>
      </c>
      <c r="G778" s="0" t="s">
        <v>2721</v>
      </c>
      <c r="H778" s="0" t="s">
        <v>340</v>
      </c>
    </row>
    <row r="779" customFormat="false" ht="14.65" hidden="false" customHeight="false" outlineLevel="0" collapsed="false">
      <c r="A779" s="43" t="s">
        <v>1609</v>
      </c>
      <c r="B779" s="44" t="s">
        <v>1165</v>
      </c>
      <c r="C779" s="45" t="s">
        <v>191</v>
      </c>
      <c r="F779" s="0" t="str">
        <f aca="false">_xlfn.CONCAT(G779,H779)</f>
        <v>CJJU0020DERECHO ADMINISTRATIVO I</v>
      </c>
      <c r="G779" s="0" t="s">
        <v>2722</v>
      </c>
      <c r="H779" s="0" t="s">
        <v>191</v>
      </c>
    </row>
    <row r="780" customFormat="false" ht="14.65" hidden="false" customHeight="false" outlineLevel="0" collapsed="false">
      <c r="A780" s="43" t="s">
        <v>1609</v>
      </c>
      <c r="B780" s="44" t="s">
        <v>1129</v>
      </c>
      <c r="C780" s="45" t="s">
        <v>203</v>
      </c>
      <c r="F780" s="0" t="str">
        <f aca="false">_xlfn.CONCAT(G780,H780)</f>
        <v>CJJU0021DERECHO COMERCIAL I</v>
      </c>
      <c r="G780" s="0" t="s">
        <v>2723</v>
      </c>
      <c r="H780" s="0" t="s">
        <v>203</v>
      </c>
    </row>
    <row r="781" customFormat="false" ht="14.65" hidden="false" customHeight="false" outlineLevel="0" collapsed="false">
      <c r="A781" s="43" t="s">
        <v>1609</v>
      </c>
      <c r="B781" s="44" t="s">
        <v>1132</v>
      </c>
      <c r="C781" s="45" t="s">
        <v>264</v>
      </c>
      <c r="F781" s="0" t="str">
        <f aca="false">_xlfn.CONCAT(G781,H781)</f>
        <v>CJJU0022DERECHO PENAL ESPECIAL II</v>
      </c>
      <c r="G781" s="0" t="s">
        <v>2724</v>
      </c>
      <c r="H781" s="0" t="s">
        <v>264</v>
      </c>
    </row>
    <row r="782" customFormat="false" ht="14.65" hidden="false" customHeight="false" outlineLevel="0" collapsed="false">
      <c r="A782" s="43" t="s">
        <v>1609</v>
      </c>
      <c r="B782" s="44" t="s">
        <v>1135</v>
      </c>
      <c r="C782" s="45" t="s">
        <v>2725</v>
      </c>
      <c r="F782" s="0" t="str">
        <f aca="false">_xlfn.CONCAT(G782,H782)</f>
        <v>CJJU0023TEORIA GEN DE LOS CONTRATOS I</v>
      </c>
      <c r="G782" s="0" t="s">
        <v>2726</v>
      </c>
      <c r="H782" s="0" t="s">
        <v>2725</v>
      </c>
    </row>
    <row r="783" customFormat="false" ht="14.65" hidden="false" customHeight="false" outlineLevel="0" collapsed="false">
      <c r="A783" s="43" t="s">
        <v>1609</v>
      </c>
      <c r="B783" s="44" t="s">
        <v>1168</v>
      </c>
      <c r="C783" s="45" t="s">
        <v>195</v>
      </c>
      <c r="F783" s="0" t="str">
        <f aca="false">_xlfn.CONCAT(G783,H783)</f>
        <v>CJJU0024DERECHO ADMINISTRATIVO II</v>
      </c>
      <c r="G783" s="0" t="s">
        <v>2727</v>
      </c>
      <c r="H783" s="0" t="s">
        <v>195</v>
      </c>
    </row>
    <row r="784" customFormat="false" ht="14.65" hidden="false" customHeight="false" outlineLevel="0" collapsed="false">
      <c r="A784" s="43" t="s">
        <v>1609</v>
      </c>
      <c r="B784" s="44" t="s">
        <v>1138</v>
      </c>
      <c r="C784" s="45" t="s">
        <v>207</v>
      </c>
      <c r="F784" s="0" t="str">
        <f aca="false">_xlfn.CONCAT(G784,H784)</f>
        <v>CJJU0025DERECHO COMERCIAL II</v>
      </c>
      <c r="G784" s="0" t="s">
        <v>2728</v>
      </c>
      <c r="H784" s="0" t="s">
        <v>207</v>
      </c>
    </row>
    <row r="785" customFormat="false" ht="14.65" hidden="false" customHeight="false" outlineLevel="0" collapsed="false">
      <c r="A785" s="43" t="s">
        <v>1609</v>
      </c>
      <c r="B785" s="44" t="s">
        <v>1144</v>
      </c>
      <c r="C785" s="45" t="s">
        <v>2729</v>
      </c>
      <c r="F785" s="0" t="str">
        <f aca="false">_xlfn.CONCAT(G785,H785)</f>
        <v>CJJU0026TEORIA GEN DE LOS CONTRATOS II</v>
      </c>
      <c r="G785" s="0" t="s">
        <v>2730</v>
      </c>
      <c r="H785" s="0" t="s">
        <v>2729</v>
      </c>
    </row>
    <row r="786" customFormat="false" ht="14.65" hidden="false" customHeight="false" outlineLevel="0" collapsed="false">
      <c r="A786" s="43" t="s">
        <v>1609</v>
      </c>
      <c r="B786" s="44" t="s">
        <v>1147</v>
      </c>
      <c r="C786" s="45" t="s">
        <v>2731</v>
      </c>
      <c r="F786" s="0" t="str">
        <f aca="false">_xlfn.CONCAT(G786,H786)</f>
        <v>CJJU0027TEORIA GENERAL DEL PROCESO I</v>
      </c>
      <c r="G786" s="0" t="s">
        <v>2732</v>
      </c>
      <c r="H786" s="0" t="s">
        <v>2731</v>
      </c>
    </row>
    <row r="787" customFormat="false" ht="14.65" hidden="false" customHeight="false" outlineLevel="0" collapsed="false">
      <c r="A787" s="43" t="s">
        <v>1609</v>
      </c>
      <c r="B787" s="44" t="s">
        <v>1153</v>
      </c>
      <c r="C787" s="45" t="s">
        <v>249</v>
      </c>
      <c r="F787" s="0" t="str">
        <f aca="false">_xlfn.CONCAT(G787,H787)</f>
        <v>CJJU0028DERECHO LABORAL I</v>
      </c>
      <c r="G787" s="0" t="s">
        <v>2733</v>
      </c>
      <c r="H787" s="0" t="s">
        <v>249</v>
      </c>
    </row>
    <row r="788" customFormat="false" ht="14.65" hidden="false" customHeight="false" outlineLevel="0" collapsed="false">
      <c r="A788" s="43" t="s">
        <v>1609</v>
      </c>
      <c r="B788" s="44" t="s">
        <v>1141</v>
      </c>
      <c r="C788" s="45" t="s">
        <v>2734</v>
      </c>
      <c r="F788" s="0" t="str">
        <f aca="false">_xlfn.CONCAT(G788,H788)</f>
        <v>CJJU0029DERECHO TRIBUTARIO Y FINANC</v>
      </c>
      <c r="G788" s="0" t="s">
        <v>2735</v>
      </c>
      <c r="H788" s="0" t="s">
        <v>2734</v>
      </c>
    </row>
    <row r="789" customFormat="false" ht="14.65" hidden="false" customHeight="false" outlineLevel="0" collapsed="false">
      <c r="A789" s="43" t="s">
        <v>1609</v>
      </c>
      <c r="B789" s="44" t="s">
        <v>1150</v>
      </c>
      <c r="C789" s="45" t="s">
        <v>2736</v>
      </c>
      <c r="F789" s="0" t="str">
        <f aca="false">_xlfn.CONCAT(G789,H789)</f>
        <v>CJJU0030DERECHO CONTRATACION PRIVADA I</v>
      </c>
      <c r="G789" s="0" t="s">
        <v>2737</v>
      </c>
      <c r="H789" s="0" t="s">
        <v>2736</v>
      </c>
    </row>
    <row r="790" customFormat="false" ht="14.65" hidden="false" customHeight="false" outlineLevel="0" collapsed="false">
      <c r="A790" s="43" t="s">
        <v>1609</v>
      </c>
      <c r="B790" s="44" t="s">
        <v>1156</v>
      </c>
      <c r="C790" s="45" t="s">
        <v>2738</v>
      </c>
      <c r="F790" s="0" t="str">
        <f aca="false">_xlfn.CONCAT(G790,H790)</f>
        <v>CJJU0031DERECHO PROCESO CIVIL I</v>
      </c>
      <c r="G790" s="0" t="s">
        <v>2739</v>
      </c>
      <c r="H790" s="0" t="s">
        <v>2738</v>
      </c>
    </row>
    <row r="791" customFormat="false" ht="14.65" hidden="false" customHeight="false" outlineLevel="0" collapsed="false">
      <c r="A791" s="43" t="s">
        <v>1609</v>
      </c>
      <c r="B791" s="44" t="s">
        <v>1159</v>
      </c>
      <c r="C791" s="45" t="s">
        <v>253</v>
      </c>
      <c r="F791" s="0" t="str">
        <f aca="false">_xlfn.CONCAT(G791,H791)</f>
        <v>CJJU0032DERECHO LABORAL II</v>
      </c>
      <c r="G791" s="0" t="s">
        <v>2740</v>
      </c>
      <c r="H791" s="0" t="s">
        <v>253</v>
      </c>
    </row>
    <row r="792" customFormat="false" ht="14.65" hidden="false" customHeight="false" outlineLevel="0" collapsed="false">
      <c r="A792" s="43" t="s">
        <v>1609</v>
      </c>
      <c r="B792" s="44" t="s">
        <v>1181</v>
      </c>
      <c r="C792" s="45" t="s">
        <v>2741</v>
      </c>
      <c r="F792" s="0" t="str">
        <f aca="false">_xlfn.CONCAT(G792,H792)</f>
        <v>CJJU2000DERECHO AGRARIO</v>
      </c>
      <c r="G792" s="0" t="s">
        <v>2742</v>
      </c>
      <c r="H792" s="0" t="s">
        <v>2741</v>
      </c>
    </row>
    <row r="793" customFormat="false" ht="14.65" hidden="false" customHeight="false" outlineLevel="0" collapsed="false">
      <c r="A793" s="43" t="s">
        <v>1609</v>
      </c>
      <c r="B793" s="44" t="s">
        <v>1184</v>
      </c>
      <c r="C793" s="45" t="s">
        <v>2743</v>
      </c>
      <c r="F793" s="0" t="str">
        <f aca="false">_xlfn.CONCAT(G793,H793)</f>
        <v>CJJU2001DERECHO CONTRAT PRIVADA II</v>
      </c>
      <c r="G793" s="0" t="s">
        <v>2744</v>
      </c>
      <c r="H793" s="0" t="s">
        <v>2743</v>
      </c>
    </row>
    <row r="794" customFormat="false" ht="14.65" hidden="false" customHeight="false" outlineLevel="0" collapsed="false">
      <c r="A794" s="43" t="s">
        <v>1609</v>
      </c>
      <c r="B794" s="44" t="s">
        <v>1187</v>
      </c>
      <c r="C794" s="45" t="s">
        <v>291</v>
      </c>
      <c r="F794" s="0" t="str">
        <f aca="false">_xlfn.CONCAT(G794,H794)</f>
        <v>CJJU2002DERECHO PROCESAL CIVIL II</v>
      </c>
      <c r="G794" s="0" t="s">
        <v>2745</v>
      </c>
      <c r="H794" s="0" t="s">
        <v>291</v>
      </c>
    </row>
    <row r="795" customFormat="false" ht="14.65" hidden="false" customHeight="false" outlineLevel="0" collapsed="false">
      <c r="A795" s="43" t="s">
        <v>1609</v>
      </c>
      <c r="B795" s="44" t="s">
        <v>1190</v>
      </c>
      <c r="C795" s="45" t="s">
        <v>308</v>
      </c>
      <c r="F795" s="0" t="str">
        <f aca="false">_xlfn.CONCAT(G795,H795)</f>
        <v>CJJU2003DERECHO PROCESAL PENAL I</v>
      </c>
      <c r="G795" s="0" t="s">
        <v>2746</v>
      </c>
      <c r="H795" s="0" t="s">
        <v>308</v>
      </c>
    </row>
    <row r="796" customFormat="false" ht="14.65" hidden="false" customHeight="false" outlineLevel="0" collapsed="false">
      <c r="A796" s="43" t="s">
        <v>1609</v>
      </c>
      <c r="B796" s="44" t="s">
        <v>1193</v>
      </c>
      <c r="C796" s="45" t="s">
        <v>2747</v>
      </c>
      <c r="F796" s="0" t="str">
        <f aca="false">_xlfn.CONCAT(G796,H796)</f>
        <v>CJJU2004JUICIOS UNIVERSALES I</v>
      </c>
      <c r="G796" s="0" t="s">
        <v>2748</v>
      </c>
      <c r="H796" s="0" t="s">
        <v>2747</v>
      </c>
    </row>
    <row r="797" customFormat="false" ht="14.65" hidden="false" customHeight="false" outlineLevel="0" collapsed="false">
      <c r="A797" s="43" t="s">
        <v>1609</v>
      </c>
      <c r="B797" s="44" t="s">
        <v>1196</v>
      </c>
      <c r="C797" s="45" t="s">
        <v>143</v>
      </c>
      <c r="F797" s="0" t="str">
        <f aca="false">_xlfn.CONCAT(G797,H797)</f>
        <v>CJJU2005DERECHO INTERNACIONAL PRIVADO</v>
      </c>
      <c r="G797" s="0" t="s">
        <v>2749</v>
      </c>
      <c r="H797" s="0" t="s">
        <v>143</v>
      </c>
    </row>
    <row r="798" customFormat="false" ht="14.65" hidden="false" customHeight="false" outlineLevel="0" collapsed="false">
      <c r="A798" s="43" t="s">
        <v>1609</v>
      </c>
      <c r="B798" s="44" t="s">
        <v>1199</v>
      </c>
      <c r="C798" s="45" t="s">
        <v>2750</v>
      </c>
      <c r="F798" s="0" t="str">
        <f aca="false">_xlfn.CONCAT(G798,H798)</f>
        <v>CJJU2006DERECHO INTERNAC PUBLICO I</v>
      </c>
      <c r="G798" s="0" t="s">
        <v>2751</v>
      </c>
      <c r="H798" s="0" t="s">
        <v>2750</v>
      </c>
    </row>
    <row r="799" customFormat="false" ht="14.65" hidden="false" customHeight="false" outlineLevel="0" collapsed="false">
      <c r="A799" s="43" t="s">
        <v>1609</v>
      </c>
      <c r="B799" s="44" t="s">
        <v>1202</v>
      </c>
      <c r="C799" s="45" t="s">
        <v>312</v>
      </c>
      <c r="F799" s="0" t="str">
        <f aca="false">_xlfn.CONCAT(G799,H799)</f>
        <v>CJJU2007DERECHO PROCESAL PENAL II</v>
      </c>
      <c r="G799" s="0" t="s">
        <v>2752</v>
      </c>
      <c r="H799" s="0" t="s">
        <v>312</v>
      </c>
    </row>
    <row r="800" customFormat="false" ht="14.65" hidden="false" customHeight="false" outlineLevel="0" collapsed="false">
      <c r="A800" s="43" t="s">
        <v>1609</v>
      </c>
      <c r="B800" s="44" t="s">
        <v>1205</v>
      </c>
      <c r="C800" s="45" t="s">
        <v>2753</v>
      </c>
      <c r="F800" s="0" t="str">
        <f aca="false">_xlfn.CONCAT(G800,H800)</f>
        <v>CJJU2008JUICIOS UNIVERSALES II</v>
      </c>
      <c r="G800" s="0" t="s">
        <v>2754</v>
      </c>
      <c r="H800" s="0" t="s">
        <v>2753</v>
      </c>
    </row>
    <row r="801" customFormat="false" ht="14.65" hidden="false" customHeight="false" outlineLevel="0" collapsed="false">
      <c r="A801" s="43" t="s">
        <v>1609</v>
      </c>
      <c r="B801" s="44" t="s">
        <v>1208</v>
      </c>
      <c r="C801" s="45" t="s">
        <v>150</v>
      </c>
      <c r="F801" s="0" t="str">
        <f aca="false">_xlfn.CONCAT(G801,H801)</f>
        <v>CJJU2009DERECHO NOTARIAL Y REGISTRAL</v>
      </c>
      <c r="G801" s="0" t="s">
        <v>2755</v>
      </c>
      <c r="H801" s="0" t="s">
        <v>150</v>
      </c>
    </row>
    <row r="802" customFormat="false" ht="14.65" hidden="false" customHeight="false" outlineLevel="0" collapsed="false">
      <c r="A802" s="43" t="s">
        <v>1609</v>
      </c>
      <c r="B802" s="44" t="s">
        <v>1211</v>
      </c>
      <c r="C802" s="45" t="s">
        <v>2756</v>
      </c>
      <c r="F802" s="0" t="str">
        <f aca="false">_xlfn.CONCAT(G802,H802)</f>
        <v>CJJU2010DERECHO PROCESAL ADMIN III</v>
      </c>
      <c r="G802" s="0" t="s">
        <v>2757</v>
      </c>
      <c r="H802" s="0" t="s">
        <v>2756</v>
      </c>
    </row>
    <row r="803" customFormat="false" ht="14.65" hidden="false" customHeight="false" outlineLevel="0" collapsed="false">
      <c r="A803" s="43" t="s">
        <v>1609</v>
      </c>
      <c r="B803" s="44" t="s">
        <v>1214</v>
      </c>
      <c r="C803" s="45" t="s">
        <v>1354</v>
      </c>
      <c r="F803" s="0" t="str">
        <f aca="false">_xlfn.CONCAT(G803,H803)</f>
        <v>CJJU2011SEMINARIO DE GRADUACION I</v>
      </c>
      <c r="G803" s="0" t="s">
        <v>2758</v>
      </c>
      <c r="H803" s="0" t="s">
        <v>1354</v>
      </c>
    </row>
    <row r="804" customFormat="false" ht="14.65" hidden="false" customHeight="false" outlineLevel="0" collapsed="false">
      <c r="A804" s="43" t="s">
        <v>1609</v>
      </c>
      <c r="B804" s="44" t="s">
        <v>1217</v>
      </c>
      <c r="C804" s="45" t="s">
        <v>856</v>
      </c>
      <c r="F804" s="0" t="str">
        <f aca="false">_xlfn.CONCAT(G804,H804)</f>
        <v>CJJU2012MEDICINA LEGAL</v>
      </c>
      <c r="G804" s="0" t="s">
        <v>2759</v>
      </c>
      <c r="H804" s="0" t="s">
        <v>856</v>
      </c>
    </row>
    <row r="805" customFormat="false" ht="14.65" hidden="false" customHeight="false" outlineLevel="0" collapsed="false">
      <c r="A805" s="43" t="s">
        <v>1609</v>
      </c>
      <c r="B805" s="44" t="s">
        <v>1220</v>
      </c>
      <c r="C805" s="45" t="s">
        <v>1360</v>
      </c>
      <c r="F805" s="0" t="str">
        <f aca="false">_xlfn.CONCAT(G805,H805)</f>
        <v>CJJU2013SEMINARIO DE GRADUACION II</v>
      </c>
      <c r="G805" s="0" t="s">
        <v>2760</v>
      </c>
      <c r="H805" s="0" t="s">
        <v>1360</v>
      </c>
    </row>
    <row r="806" customFormat="false" ht="14.65" hidden="false" customHeight="false" outlineLevel="0" collapsed="false">
      <c r="A806" s="43" t="s">
        <v>1609</v>
      </c>
      <c r="B806" s="44" t="s">
        <v>1223</v>
      </c>
      <c r="C806" s="45" t="s">
        <v>1236</v>
      </c>
      <c r="F806" s="0" t="str">
        <f aca="false">_xlfn.CONCAT(G806,H806)</f>
        <v>CJJU2014TESIS DE GRADO</v>
      </c>
      <c r="G806" s="0" t="s">
        <v>2761</v>
      </c>
      <c r="H806" s="0" t="s">
        <v>1236</v>
      </c>
    </row>
    <row r="807" customFormat="false" ht="14.65" hidden="false" customHeight="false" outlineLevel="0" collapsed="false">
      <c r="A807" s="43" t="s">
        <v>1609</v>
      </c>
      <c r="B807" s="44" t="s">
        <v>1226</v>
      </c>
      <c r="C807" s="45" t="s">
        <v>1830</v>
      </c>
      <c r="F807" s="0" t="str">
        <f aca="false">_xlfn.CONCAT(G807,H807)</f>
        <v>CJJU2015PRACTICA PROFESIONAL</v>
      </c>
      <c r="G807" s="0" t="s">
        <v>2762</v>
      </c>
      <c r="H807" s="0" t="s">
        <v>1830</v>
      </c>
    </row>
    <row r="808" customFormat="false" ht="14.65" hidden="false" customHeight="false" outlineLevel="0" collapsed="false">
      <c r="A808" s="43" t="s">
        <v>2763</v>
      </c>
      <c r="B808" s="44" t="s">
        <v>2764</v>
      </c>
      <c r="C808" s="45" t="s">
        <v>2765</v>
      </c>
      <c r="F808" s="0" t="str">
        <f aca="false">_xlfn.CONCAT(G808,H808)</f>
        <v>ECCL7000MICROSOFT EXCEL ACADEMIC</v>
      </c>
      <c r="G808" s="0" t="s">
        <v>2766</v>
      </c>
      <c r="H808" s="0" t="s">
        <v>2765</v>
      </c>
    </row>
    <row r="809" customFormat="false" ht="14.65" hidden="false" customHeight="false" outlineLevel="0" collapsed="false">
      <c r="A809" s="43" t="s">
        <v>2763</v>
      </c>
      <c r="B809" s="44" t="s">
        <v>2767</v>
      </c>
      <c r="C809" s="45" t="s">
        <v>2768</v>
      </c>
      <c r="F809" s="0" t="str">
        <f aca="false">_xlfn.CONCAT(G809,H809)</f>
        <v>ECCL7001MICROSOFT EXCEL BUSINESS</v>
      </c>
      <c r="G809" s="0" t="s">
        <v>2769</v>
      </c>
      <c r="H809" s="0" t="s">
        <v>2768</v>
      </c>
    </row>
    <row r="810" customFormat="false" ht="14.65" hidden="false" customHeight="false" outlineLevel="0" collapsed="false">
      <c r="A810" s="43" t="s">
        <v>2763</v>
      </c>
      <c r="B810" s="44" t="s">
        <v>2770</v>
      </c>
      <c r="C810" s="45" t="s">
        <v>2771</v>
      </c>
      <c r="F810" s="0" t="str">
        <f aca="false">_xlfn.CONCAT(G810,H810)</f>
        <v>ECCL7002CONTRATACION ADMINISTRATIVA</v>
      </c>
      <c r="G810" s="0" t="s">
        <v>2772</v>
      </c>
      <c r="H810" s="0" t="s">
        <v>2771</v>
      </c>
    </row>
    <row r="811" customFormat="false" ht="14.65" hidden="false" customHeight="false" outlineLevel="0" collapsed="false">
      <c r="A811" s="43" t="s">
        <v>2763</v>
      </c>
      <c r="B811" s="44" t="s">
        <v>2773</v>
      </c>
      <c r="C811" s="45" t="s">
        <v>2774</v>
      </c>
      <c r="F811" s="0" t="str">
        <f aca="false">_xlfn.CONCAT(G811,H811)</f>
        <v>ECCL7003SAP I</v>
      </c>
      <c r="G811" s="0" t="s">
        <v>2775</v>
      </c>
      <c r="H811" s="0" t="s">
        <v>2774</v>
      </c>
    </row>
    <row r="812" customFormat="false" ht="14.65" hidden="false" customHeight="false" outlineLevel="0" collapsed="false">
      <c r="A812" s="43" t="s">
        <v>2763</v>
      </c>
      <c r="B812" s="44" t="s">
        <v>2776</v>
      </c>
      <c r="C812" s="45" t="s">
        <v>2777</v>
      </c>
      <c r="F812" s="0" t="str">
        <f aca="false">_xlfn.CONCAT(G812,H812)</f>
        <v>ECCL7004SAP II</v>
      </c>
      <c r="G812" s="0" t="s">
        <v>2778</v>
      </c>
      <c r="H812" s="0" t="s">
        <v>2777</v>
      </c>
    </row>
    <row r="813" customFormat="false" ht="14.65" hidden="false" customHeight="false" outlineLevel="0" collapsed="false">
      <c r="A813" s="43" t="s">
        <v>2763</v>
      </c>
      <c r="B813" s="44" t="s">
        <v>2779</v>
      </c>
      <c r="C813" s="45" t="s">
        <v>2780</v>
      </c>
      <c r="F813" s="0" t="str">
        <f aca="false">_xlfn.CONCAT(G813,H813)</f>
        <v>ECCL7005CERTIFICACION YELLOW BELT</v>
      </c>
      <c r="G813" s="0" t="s">
        <v>2781</v>
      </c>
      <c r="H813" s="0" t="s">
        <v>2780</v>
      </c>
    </row>
    <row r="814" customFormat="false" ht="14.65" hidden="false" customHeight="false" outlineLevel="0" collapsed="false">
      <c r="A814" s="43" t="s">
        <v>2763</v>
      </c>
      <c r="B814" s="44" t="s">
        <v>2782</v>
      </c>
      <c r="C814" s="45" t="s">
        <v>2783</v>
      </c>
      <c r="F814" s="0" t="str">
        <f aca="false">_xlfn.CONCAT(G814,H814)</f>
        <v>ECCL7006LESCO I</v>
      </c>
      <c r="G814" s="0" t="s">
        <v>2784</v>
      </c>
      <c r="H814" s="0" t="s">
        <v>2783</v>
      </c>
    </row>
    <row r="815" customFormat="false" ht="14.65" hidden="false" customHeight="false" outlineLevel="0" collapsed="false">
      <c r="A815" s="43" t="s">
        <v>2763</v>
      </c>
      <c r="B815" s="44" t="s">
        <v>2785</v>
      </c>
      <c r="C815" s="45" t="s">
        <v>2786</v>
      </c>
      <c r="F815" s="0" t="str">
        <f aca="false">_xlfn.CONCAT(G815,H815)</f>
        <v>ECCL7007LESCO II</v>
      </c>
      <c r="G815" s="0" t="s">
        <v>2787</v>
      </c>
      <c r="H815" s="0" t="s">
        <v>2786</v>
      </c>
    </row>
    <row r="816" customFormat="false" ht="14.65" hidden="false" customHeight="false" outlineLevel="0" collapsed="false">
      <c r="A816" s="43" t="s">
        <v>2763</v>
      </c>
      <c r="B816" s="44" t="s">
        <v>2788</v>
      </c>
      <c r="C816" s="45" t="s">
        <v>2789</v>
      </c>
      <c r="F816" s="0" t="str">
        <f aca="false">_xlfn.CONCAT(G816,H816)</f>
        <v>ECCL7008LESCO III</v>
      </c>
      <c r="G816" s="0" t="s">
        <v>2790</v>
      </c>
      <c r="H816" s="0" t="s">
        <v>2789</v>
      </c>
    </row>
    <row r="817" customFormat="false" ht="14.65" hidden="false" customHeight="false" outlineLevel="0" collapsed="false">
      <c r="A817" s="43" t="s">
        <v>2763</v>
      </c>
      <c r="B817" s="44" t="s">
        <v>2791</v>
      </c>
      <c r="C817" s="45" t="s">
        <v>2792</v>
      </c>
      <c r="F817" s="0" t="str">
        <f aca="false">_xlfn.CONCAT(G817,H817)</f>
        <v>ECCL7009CCNA 01</v>
      </c>
      <c r="G817" s="0" t="s">
        <v>2793</v>
      </c>
      <c r="H817" s="0" t="s">
        <v>2792</v>
      </c>
    </row>
    <row r="818" customFormat="false" ht="14.65" hidden="false" customHeight="false" outlineLevel="0" collapsed="false">
      <c r="A818" s="43" t="s">
        <v>2763</v>
      </c>
      <c r="B818" s="44" t="s">
        <v>2794</v>
      </c>
      <c r="C818" s="45" t="s">
        <v>2795</v>
      </c>
      <c r="F818" s="0" t="str">
        <f aca="false">_xlfn.CONCAT(G818,H818)</f>
        <v>ECCL7010CCNA 02</v>
      </c>
      <c r="G818" s="0" t="s">
        <v>2796</v>
      </c>
      <c r="H818" s="0" t="s">
        <v>2795</v>
      </c>
    </row>
    <row r="819" customFormat="false" ht="14.65" hidden="false" customHeight="false" outlineLevel="0" collapsed="false">
      <c r="A819" s="43" t="s">
        <v>2763</v>
      </c>
      <c r="B819" s="44" t="s">
        <v>2797</v>
      </c>
      <c r="C819" s="45" t="s">
        <v>2798</v>
      </c>
      <c r="F819" s="0" t="str">
        <f aca="false">_xlfn.CONCAT(G819,H819)</f>
        <v>ECCL7011CCNA 03</v>
      </c>
      <c r="G819" s="0" t="s">
        <v>2799</v>
      </c>
      <c r="H819" s="0" t="s">
        <v>2798</v>
      </c>
    </row>
    <row r="820" customFormat="false" ht="14.65" hidden="false" customHeight="false" outlineLevel="0" collapsed="false">
      <c r="A820" s="43" t="s">
        <v>2763</v>
      </c>
      <c r="B820" s="44" t="s">
        <v>2800</v>
      </c>
      <c r="C820" s="45" t="s">
        <v>2801</v>
      </c>
      <c r="F820" s="0" t="str">
        <f aca="false">_xlfn.CONCAT(G820,H820)</f>
        <v>ECCL7012CERTIFICACION SCRUM MASTER</v>
      </c>
      <c r="G820" s="0" t="s">
        <v>2802</v>
      </c>
      <c r="H820" s="0" t="s">
        <v>2801</v>
      </c>
    </row>
    <row r="821" customFormat="false" ht="14.65" hidden="false" customHeight="false" outlineLevel="0" collapsed="false">
      <c r="A821" s="43" t="s">
        <v>2803</v>
      </c>
      <c r="B821" s="44" t="s">
        <v>2804</v>
      </c>
      <c r="C821" s="45" t="s">
        <v>2805</v>
      </c>
      <c r="F821" s="0" t="str">
        <f aca="false">_xlfn.CONCAT(G821,H821)</f>
        <v>ECTE6066INTRODUCCION A LA CALIDAD</v>
      </c>
      <c r="G821" s="0" t="s">
        <v>2806</v>
      </c>
      <c r="H821" s="0" t="s">
        <v>2805</v>
      </c>
    </row>
    <row r="822" customFormat="false" ht="14.65" hidden="false" customHeight="false" outlineLevel="0" collapsed="false">
      <c r="A822" s="43" t="s">
        <v>2803</v>
      </c>
      <c r="B822" s="44" t="s">
        <v>2807</v>
      </c>
      <c r="C822" s="45" t="s">
        <v>2808</v>
      </c>
      <c r="F822" s="0" t="str">
        <f aca="false">_xlfn.CONCAT(G822,H822)</f>
        <v>ECTE6067GEST DE CALID APLIC EN INVENT</v>
      </c>
      <c r="G822" s="0" t="s">
        <v>2809</v>
      </c>
      <c r="H822" s="0" t="s">
        <v>2808</v>
      </c>
    </row>
    <row r="823" customFormat="false" ht="14.65" hidden="false" customHeight="false" outlineLevel="0" collapsed="false">
      <c r="A823" s="43" t="s">
        <v>2803</v>
      </c>
      <c r="B823" s="44" t="s">
        <v>2810</v>
      </c>
      <c r="C823" s="45" t="s">
        <v>2811</v>
      </c>
      <c r="F823" s="0" t="str">
        <f aca="false">_xlfn.CONCAT(G823,H823)</f>
        <v>ECTE6068SISTEMA DE GESTION DE PROCESOS</v>
      </c>
      <c r="G823" s="0" t="s">
        <v>2812</v>
      </c>
      <c r="H823" s="0" t="s">
        <v>2811</v>
      </c>
    </row>
    <row r="824" customFormat="false" ht="14.65" hidden="false" customHeight="false" outlineLevel="0" collapsed="false">
      <c r="A824" s="43" t="s">
        <v>2803</v>
      </c>
      <c r="B824" s="44" t="s">
        <v>2813</v>
      </c>
      <c r="C824" s="45" t="s">
        <v>2814</v>
      </c>
      <c r="F824" s="0" t="str">
        <f aca="false">_xlfn.CONCAT(G824,H824)</f>
        <v>ECTE6069GEST DE CALIDAD EN LOGISTICA</v>
      </c>
      <c r="G824" s="0" t="s">
        <v>2815</v>
      </c>
      <c r="H824" s="0" t="s">
        <v>2814</v>
      </c>
    </row>
    <row r="825" customFormat="false" ht="14.65" hidden="false" customHeight="false" outlineLevel="0" collapsed="false">
      <c r="A825" s="43" t="s">
        <v>2803</v>
      </c>
      <c r="B825" s="44" t="s">
        <v>2816</v>
      </c>
      <c r="C825" s="45" t="s">
        <v>1012</v>
      </c>
      <c r="F825" s="0" t="str">
        <f aca="false">_xlfn.CONCAT(G825,H825)</f>
        <v>ECTE6070TALLER SIX SIGMA</v>
      </c>
      <c r="G825" s="0" t="s">
        <v>2817</v>
      </c>
      <c r="H825" s="0" t="s">
        <v>1012</v>
      </c>
    </row>
    <row r="826" customFormat="false" ht="14.65" hidden="false" customHeight="false" outlineLevel="0" collapsed="false">
      <c r="A826" s="43" t="s">
        <v>2803</v>
      </c>
      <c r="B826" s="44" t="s">
        <v>2818</v>
      </c>
      <c r="C826" s="45" t="s">
        <v>2819</v>
      </c>
      <c r="F826" s="0" t="str">
        <f aca="false">_xlfn.CONCAT(G826,H826)</f>
        <v>ECTE6050FUNDAMENTOS DEL DISENO GRAFICO</v>
      </c>
      <c r="G826" s="0" t="s">
        <v>2820</v>
      </c>
      <c r="H826" s="0" t="s">
        <v>2819</v>
      </c>
    </row>
    <row r="827" customFormat="false" ht="14.65" hidden="false" customHeight="false" outlineLevel="0" collapsed="false">
      <c r="A827" s="43" t="s">
        <v>2803</v>
      </c>
      <c r="B827" s="44" t="s">
        <v>2821</v>
      </c>
      <c r="C827" s="45" t="s">
        <v>2822</v>
      </c>
      <c r="F827" s="0" t="str">
        <f aca="false">_xlfn.CONCAT(G827,H827)</f>
        <v>ECTE6051CONCEPTUALIZAC Y CREATIVIDAD</v>
      </c>
      <c r="G827" s="0" t="s">
        <v>2823</v>
      </c>
      <c r="H827" s="0" t="s">
        <v>2822</v>
      </c>
    </row>
    <row r="828" customFormat="false" ht="14.65" hidden="false" customHeight="false" outlineLevel="0" collapsed="false">
      <c r="A828" s="43" t="s">
        <v>2803</v>
      </c>
      <c r="B828" s="44" t="s">
        <v>2824</v>
      </c>
      <c r="C828" s="45" t="s">
        <v>2825</v>
      </c>
      <c r="F828" s="0" t="str">
        <f aca="false">_xlfn.CONCAT(G828,H828)</f>
        <v>ECTE6052DISENO DIGITAL I</v>
      </c>
      <c r="G828" s="0" t="s">
        <v>2826</v>
      </c>
      <c r="H828" s="0" t="s">
        <v>2825</v>
      </c>
    </row>
    <row r="829" customFormat="false" ht="14.65" hidden="false" customHeight="false" outlineLevel="0" collapsed="false">
      <c r="A829" s="43" t="s">
        <v>2803</v>
      </c>
      <c r="B829" s="44" t="s">
        <v>2827</v>
      </c>
      <c r="C829" s="45" t="s">
        <v>2828</v>
      </c>
      <c r="F829" s="0" t="str">
        <f aca="false">_xlfn.CONCAT(G829,H829)</f>
        <v>ECTE6053DISENO DIGITAL II</v>
      </c>
      <c r="G829" s="0" t="s">
        <v>2829</v>
      </c>
      <c r="H829" s="0" t="s">
        <v>2828</v>
      </c>
    </row>
    <row r="830" customFormat="false" ht="14.65" hidden="false" customHeight="false" outlineLevel="0" collapsed="false">
      <c r="A830" s="43" t="s">
        <v>2803</v>
      </c>
      <c r="B830" s="44" t="s">
        <v>2830</v>
      </c>
      <c r="C830" s="45" t="s">
        <v>2831</v>
      </c>
      <c r="F830" s="0" t="str">
        <f aca="false">_xlfn.CONCAT(G830,H830)</f>
        <v>ECTE6054DISENO DIGITAL III</v>
      </c>
      <c r="G830" s="0" t="s">
        <v>2832</v>
      </c>
      <c r="H830" s="0" t="s">
        <v>2831</v>
      </c>
    </row>
    <row r="831" customFormat="false" ht="14.65" hidden="false" customHeight="false" outlineLevel="0" collapsed="false">
      <c r="A831" s="43" t="s">
        <v>2803</v>
      </c>
      <c r="B831" s="44" t="s">
        <v>2833</v>
      </c>
      <c r="C831" s="45" t="s">
        <v>2834</v>
      </c>
      <c r="F831" s="0" t="str">
        <f aca="false">_xlfn.CONCAT(G831,H831)</f>
        <v>ECTE6055IMAGEN CORPORATIVA</v>
      </c>
      <c r="G831" s="0" t="s">
        <v>2835</v>
      </c>
      <c r="H831" s="0" t="s">
        <v>2834</v>
      </c>
    </row>
    <row r="832" customFormat="false" ht="14.65" hidden="false" customHeight="false" outlineLevel="0" collapsed="false">
      <c r="A832" s="43" t="s">
        <v>2803</v>
      </c>
      <c r="B832" s="44" t="s">
        <v>2836</v>
      </c>
      <c r="C832" s="45" t="s">
        <v>2837</v>
      </c>
      <c r="F832" s="0" t="str">
        <f aca="false">_xlfn.CONCAT(G832,H832)</f>
        <v>ECTE6056DISENO DE MATERIAL IMPRESO</v>
      </c>
      <c r="G832" s="0" t="s">
        <v>2838</v>
      </c>
      <c r="H832" s="0" t="s">
        <v>2837</v>
      </c>
    </row>
    <row r="833" customFormat="false" ht="14.65" hidden="false" customHeight="false" outlineLevel="0" collapsed="false">
      <c r="A833" s="43" t="s">
        <v>2803</v>
      </c>
      <c r="B833" s="44" t="s">
        <v>2839</v>
      </c>
      <c r="C833" s="45" t="s">
        <v>2840</v>
      </c>
      <c r="F833" s="0" t="str">
        <f aca="false">_xlfn.CONCAT(G833,H833)</f>
        <v>ECTE6057PROYECTO SUPERVISADO</v>
      </c>
      <c r="G833" s="0" t="s">
        <v>2841</v>
      </c>
      <c r="H833" s="0" t="s">
        <v>2840</v>
      </c>
    </row>
    <row r="834" customFormat="false" ht="14.65" hidden="false" customHeight="false" outlineLevel="0" collapsed="false">
      <c r="A834" s="43" t="s">
        <v>2803</v>
      </c>
      <c r="B834" s="44" t="s">
        <v>2842</v>
      </c>
      <c r="C834" s="45" t="s">
        <v>2843</v>
      </c>
      <c r="F834" s="0" t="str">
        <f aca="false">_xlfn.CONCAT(G834,H834)</f>
        <v>ECTE6058FUNDAM DE MARKETING DIGITAL</v>
      </c>
      <c r="G834" s="0" t="s">
        <v>2844</v>
      </c>
      <c r="H834" s="0" t="s">
        <v>2843</v>
      </c>
    </row>
    <row r="835" customFormat="false" ht="14.65" hidden="false" customHeight="false" outlineLevel="0" collapsed="false">
      <c r="A835" s="43" t="s">
        <v>2803</v>
      </c>
      <c r="B835" s="44" t="s">
        <v>2845</v>
      </c>
      <c r="C835" s="45" t="s">
        <v>2846</v>
      </c>
      <c r="F835" s="0" t="str">
        <f aca="false">_xlfn.CONCAT(G835,H835)</f>
        <v>ECTE6059CONTENIDO Y REDES SOCIALES</v>
      </c>
      <c r="G835" s="0" t="s">
        <v>2847</v>
      </c>
      <c r="H835" s="0" t="s">
        <v>2846</v>
      </c>
    </row>
    <row r="836" customFormat="false" ht="14.65" hidden="false" customHeight="false" outlineLevel="0" collapsed="false">
      <c r="A836" s="43" t="s">
        <v>2803</v>
      </c>
      <c r="B836" s="44" t="s">
        <v>2848</v>
      </c>
      <c r="C836" s="45" t="s">
        <v>2849</v>
      </c>
      <c r="F836" s="0" t="str">
        <f aca="false">_xlfn.CONCAT(G836,H836)</f>
        <v>ECTE6060WEB Y MOTORES DE BUSQUEDA</v>
      </c>
      <c r="G836" s="0" t="s">
        <v>2850</v>
      </c>
      <c r="H836" s="0" t="s">
        <v>2849</v>
      </c>
    </row>
    <row r="837" customFormat="false" ht="14.65" hidden="false" customHeight="false" outlineLevel="0" collapsed="false">
      <c r="A837" s="43" t="s">
        <v>2803</v>
      </c>
      <c r="B837" s="44" t="s">
        <v>2851</v>
      </c>
      <c r="C837" s="45" t="s">
        <v>2852</v>
      </c>
      <c r="F837" s="0" t="str">
        <f aca="false">_xlfn.CONCAT(G837,H837)</f>
        <v>ECTE6061DISENO Y DESARROLLO WEB</v>
      </c>
      <c r="G837" s="0" t="s">
        <v>2853</v>
      </c>
      <c r="H837" s="0" t="s">
        <v>2852</v>
      </c>
    </row>
    <row r="838" customFormat="false" ht="14.65" hidden="false" customHeight="false" outlineLevel="0" collapsed="false">
      <c r="A838" s="43" t="s">
        <v>2803</v>
      </c>
      <c r="B838" s="44" t="s">
        <v>2854</v>
      </c>
      <c r="C838" s="45" t="s">
        <v>2855</v>
      </c>
      <c r="F838" s="0" t="str">
        <f aca="false">_xlfn.CONCAT(G838,H838)</f>
        <v>ECTE6062EMAIL Y MOBILE MARKETING</v>
      </c>
      <c r="G838" s="0" t="s">
        <v>2856</v>
      </c>
      <c r="H838" s="0" t="s">
        <v>2855</v>
      </c>
    </row>
    <row r="839" customFormat="false" ht="14.65" hidden="false" customHeight="false" outlineLevel="0" collapsed="false">
      <c r="A839" s="43" t="s">
        <v>2803</v>
      </c>
      <c r="B839" s="44" t="s">
        <v>2857</v>
      </c>
      <c r="C839" s="45" t="s">
        <v>2858</v>
      </c>
      <c r="F839" s="0" t="str">
        <f aca="false">_xlfn.CONCAT(G839,H839)</f>
        <v>ECTE6063PUBLICIDAD ONLINE</v>
      </c>
      <c r="G839" s="0" t="s">
        <v>2859</v>
      </c>
      <c r="H839" s="0" t="s">
        <v>2858</v>
      </c>
    </row>
    <row r="840" customFormat="false" ht="14.65" hidden="false" customHeight="false" outlineLevel="0" collapsed="false">
      <c r="A840" s="43" t="s">
        <v>2803</v>
      </c>
      <c r="B840" s="44" t="s">
        <v>2860</v>
      </c>
      <c r="C840" s="45" t="s">
        <v>2861</v>
      </c>
      <c r="F840" s="0" t="str">
        <f aca="false">_xlfn.CONCAT(G840,H840)</f>
        <v>ECTE6064ANALITICA WEB</v>
      </c>
      <c r="G840" s="0" t="s">
        <v>2862</v>
      </c>
      <c r="H840" s="0" t="s">
        <v>2861</v>
      </c>
    </row>
    <row r="841" customFormat="false" ht="14.65" hidden="false" customHeight="false" outlineLevel="0" collapsed="false">
      <c r="A841" s="43" t="s">
        <v>2803</v>
      </c>
      <c r="B841" s="44" t="s">
        <v>2863</v>
      </c>
      <c r="C841" s="45" t="s">
        <v>2864</v>
      </c>
      <c r="F841" s="0" t="str">
        <f aca="false">_xlfn.CONCAT(G841,H841)</f>
        <v>ECTE6065OPTIMIZACION WEB</v>
      </c>
      <c r="G841" s="0" t="s">
        <v>2865</v>
      </c>
      <c r="H841" s="0" t="s">
        <v>2864</v>
      </c>
    </row>
    <row r="842" customFormat="false" ht="14.65" hidden="false" customHeight="false" outlineLevel="0" collapsed="false">
      <c r="A842" s="43" t="s">
        <v>2803</v>
      </c>
      <c r="B842" s="44" t="s">
        <v>2866</v>
      </c>
      <c r="C842" s="45" t="s">
        <v>2867</v>
      </c>
      <c r="F842" s="0" t="str">
        <f aca="false">_xlfn.CONCAT(G842,H842)</f>
        <v>ECTE6071ADMIN DE PROCESOS INDUSTRIALES</v>
      </c>
      <c r="G842" s="0" t="s">
        <v>2868</v>
      </c>
      <c r="H842" s="0" t="s">
        <v>2867</v>
      </c>
    </row>
    <row r="843" customFormat="false" ht="14.65" hidden="false" customHeight="false" outlineLevel="0" collapsed="false">
      <c r="A843" s="43" t="s">
        <v>2803</v>
      </c>
      <c r="B843" s="44" t="s">
        <v>2869</v>
      </c>
      <c r="C843" s="45" t="s">
        <v>2870</v>
      </c>
      <c r="F843" s="0" t="str">
        <f aca="false">_xlfn.CONCAT(G843,H843)</f>
        <v>ECTE6072ADMIN DEL RECURSOS HUMANO</v>
      </c>
      <c r="G843" s="0" t="s">
        <v>2871</v>
      </c>
      <c r="H843" s="0" t="s">
        <v>2870</v>
      </c>
    </row>
    <row r="844" customFormat="false" ht="14.65" hidden="false" customHeight="false" outlineLevel="0" collapsed="false">
      <c r="A844" s="43" t="s">
        <v>2803</v>
      </c>
      <c r="B844" s="44" t="s">
        <v>2872</v>
      </c>
      <c r="C844" s="45" t="s">
        <v>2424</v>
      </c>
      <c r="F844" s="0" t="str">
        <f aca="false">_xlfn.CONCAT(G844,H844)</f>
        <v>ECTE6073GESTION DE LA CALIDAD</v>
      </c>
      <c r="G844" s="0" t="s">
        <v>2873</v>
      </c>
      <c r="H844" s="0" t="s">
        <v>2424</v>
      </c>
    </row>
    <row r="845" customFormat="false" ht="14.65" hidden="false" customHeight="false" outlineLevel="0" collapsed="false">
      <c r="A845" s="43" t="s">
        <v>2803</v>
      </c>
      <c r="B845" s="44" t="s">
        <v>2874</v>
      </c>
      <c r="C845" s="45" t="s">
        <v>2875</v>
      </c>
      <c r="F845" s="0" t="str">
        <f aca="false">_xlfn.CONCAT(G845,H845)</f>
        <v>ECTE6074ESTUD DE TIEMP Y METOD DE TRAB</v>
      </c>
      <c r="G845" s="0" t="s">
        <v>2876</v>
      </c>
      <c r="H845" s="0" t="s">
        <v>2875</v>
      </c>
    </row>
    <row r="846" customFormat="false" ht="14.65" hidden="false" customHeight="false" outlineLevel="0" collapsed="false">
      <c r="A846" s="43" t="s">
        <v>2803</v>
      </c>
      <c r="B846" s="44" t="s">
        <v>2877</v>
      </c>
      <c r="C846" s="45" t="s">
        <v>2601</v>
      </c>
      <c r="F846" s="0" t="str">
        <f aca="false">_xlfn.CONCAT(G846,H846)</f>
        <v>ECTE6075PRODUCTIVIDAD</v>
      </c>
      <c r="G846" s="0" t="s">
        <v>2878</v>
      </c>
      <c r="H846" s="0" t="s">
        <v>2601</v>
      </c>
    </row>
    <row r="847" customFormat="false" ht="14.65" hidden="false" customHeight="false" outlineLevel="0" collapsed="false">
      <c r="A847" s="43" t="s">
        <v>2803</v>
      </c>
      <c r="B847" s="44" t="s">
        <v>2879</v>
      </c>
      <c r="C847" s="45" t="s">
        <v>2880</v>
      </c>
      <c r="F847" s="0" t="str">
        <f aca="false">_xlfn.CONCAT(G847,H847)</f>
        <v>ECTE6076CONTROL DE COSTOS DE PRODUC</v>
      </c>
      <c r="G847" s="0" t="s">
        <v>2881</v>
      </c>
      <c r="H847" s="0" t="s">
        <v>2880</v>
      </c>
    </row>
    <row r="848" customFormat="false" ht="14.65" hidden="false" customHeight="false" outlineLevel="0" collapsed="false">
      <c r="A848" s="43" t="s">
        <v>2803</v>
      </c>
      <c r="B848" s="44" t="s">
        <v>2882</v>
      </c>
      <c r="C848" s="45" t="s">
        <v>2883</v>
      </c>
      <c r="F848" s="0" t="str">
        <f aca="false">_xlfn.CONCAT(G848,H848)</f>
        <v>ECTE5058OPERAC Y ESTRATEG COMERC</v>
      </c>
      <c r="G848" s="0" t="s">
        <v>2884</v>
      </c>
      <c r="H848" s="0" t="s">
        <v>2883</v>
      </c>
    </row>
    <row r="849" customFormat="false" ht="14.65" hidden="false" customHeight="false" outlineLevel="0" collapsed="false">
      <c r="A849" s="43" t="s">
        <v>2803</v>
      </c>
      <c r="B849" s="44" t="s">
        <v>2885</v>
      </c>
      <c r="C849" s="45" t="s">
        <v>2886</v>
      </c>
      <c r="F849" s="0" t="str">
        <f aca="false">_xlfn.CONCAT(G849,H849)</f>
        <v>ECTE5059DIMENSION DE LA INDUSTRIA</v>
      </c>
      <c r="G849" s="0" t="s">
        <v>2887</v>
      </c>
      <c r="H849" s="0" t="s">
        <v>2886</v>
      </c>
    </row>
    <row r="850" customFormat="false" ht="14.65" hidden="false" customHeight="false" outlineLevel="0" collapsed="false">
      <c r="A850" s="43" t="s">
        <v>2803</v>
      </c>
      <c r="B850" s="44" t="s">
        <v>2888</v>
      </c>
      <c r="C850" s="45" t="s">
        <v>2889</v>
      </c>
      <c r="F850" s="0" t="str">
        <f aca="false">_xlfn.CONCAT(G850,H850)</f>
        <v>ECTE5050ADMINISTRACION MODERNA</v>
      </c>
      <c r="G850" s="0" t="s">
        <v>2890</v>
      </c>
      <c r="H850" s="0" t="s">
        <v>2889</v>
      </c>
    </row>
    <row r="851" customFormat="false" ht="14.65" hidden="false" customHeight="false" outlineLevel="0" collapsed="false">
      <c r="A851" s="43" t="s">
        <v>2803</v>
      </c>
      <c r="B851" s="44" t="s">
        <v>2891</v>
      </c>
      <c r="C851" s="45" t="s">
        <v>2892</v>
      </c>
      <c r="F851" s="0" t="str">
        <f aca="false">_xlfn.CONCAT(G851,H851)</f>
        <v>ECTE5051ENTORNOS DE EMPRENDIMIENTO</v>
      </c>
      <c r="G851" s="0" t="s">
        <v>2893</v>
      </c>
      <c r="H851" s="0" t="s">
        <v>2892</v>
      </c>
    </row>
    <row r="852" customFormat="false" ht="14.65" hidden="false" customHeight="false" outlineLevel="0" collapsed="false">
      <c r="A852" s="43" t="s">
        <v>2803</v>
      </c>
      <c r="B852" s="44" t="s">
        <v>2894</v>
      </c>
      <c r="C852" s="45" t="s">
        <v>2895</v>
      </c>
      <c r="F852" s="0" t="str">
        <f aca="false">_xlfn.CONCAT(G852,H852)</f>
        <v>ECTE5052INNOVACION Y CREATIVIDAD</v>
      </c>
      <c r="G852" s="0" t="s">
        <v>2896</v>
      </c>
      <c r="H852" s="0" t="s">
        <v>2895</v>
      </c>
    </row>
    <row r="853" customFormat="false" ht="14.65" hidden="false" customHeight="false" outlineLevel="0" collapsed="false">
      <c r="A853" s="43" t="s">
        <v>2803</v>
      </c>
      <c r="B853" s="44" t="s">
        <v>2897</v>
      </c>
      <c r="C853" s="45" t="s">
        <v>2898</v>
      </c>
      <c r="F853" s="0" t="str">
        <f aca="false">_xlfn.CONCAT(G853,H853)</f>
        <v>ECTE5060CONTABILIDAD TECNICA</v>
      </c>
      <c r="G853" s="0" t="s">
        <v>2899</v>
      </c>
      <c r="H853" s="0" t="s">
        <v>2898</v>
      </c>
    </row>
    <row r="854" customFormat="false" ht="14.65" hidden="false" customHeight="false" outlineLevel="0" collapsed="false">
      <c r="A854" s="43" t="s">
        <v>2803</v>
      </c>
      <c r="B854" s="44" t="s">
        <v>2900</v>
      </c>
      <c r="C854" s="45" t="s">
        <v>1651</v>
      </c>
      <c r="F854" s="0" t="str">
        <f aca="false">_xlfn.CONCAT(G854,H854)</f>
        <v>ECTE5061CONTABILIDAD GERENCIAL</v>
      </c>
      <c r="G854" s="0" t="s">
        <v>2901</v>
      </c>
      <c r="H854" s="0" t="s">
        <v>1651</v>
      </c>
    </row>
    <row r="855" customFormat="false" ht="14.65" hidden="false" customHeight="false" outlineLevel="0" collapsed="false">
      <c r="A855" s="43" t="s">
        <v>2803</v>
      </c>
      <c r="B855" s="44" t="s">
        <v>2902</v>
      </c>
      <c r="C855" s="45" t="s">
        <v>2903</v>
      </c>
      <c r="F855" s="0" t="str">
        <f aca="false">_xlfn.CONCAT(G855,H855)</f>
        <v>ECTE5055DESARROLLO DE MODELOS DE NEG</v>
      </c>
      <c r="G855" s="0" t="s">
        <v>2904</v>
      </c>
      <c r="H855" s="0" t="s">
        <v>2903</v>
      </c>
    </row>
    <row r="856" customFormat="false" ht="14.65" hidden="false" customHeight="false" outlineLevel="0" collapsed="false">
      <c r="A856" s="43" t="s">
        <v>2803</v>
      </c>
      <c r="B856" s="44" t="s">
        <v>2905</v>
      </c>
      <c r="C856" s="45" t="s">
        <v>2906</v>
      </c>
      <c r="F856" s="0" t="str">
        <f aca="false">_xlfn.CONCAT(G856,H856)</f>
        <v>ECTE5056EVALUAC Y GESTION DE RIESGOS</v>
      </c>
      <c r="G856" s="0" t="s">
        <v>2907</v>
      </c>
      <c r="H856" s="0" t="s">
        <v>2906</v>
      </c>
    </row>
    <row r="857" customFormat="false" ht="14.65" hidden="false" customHeight="false" outlineLevel="0" collapsed="false">
      <c r="A857" s="43" t="s">
        <v>2803</v>
      </c>
      <c r="B857" s="44" t="s">
        <v>2908</v>
      </c>
      <c r="C857" s="45" t="s">
        <v>2909</v>
      </c>
      <c r="F857" s="0" t="str">
        <f aca="false">_xlfn.CONCAT(G857,H857)</f>
        <v>ECTE5057FORMUL Y EVALU DE PROYECT</v>
      </c>
      <c r="G857" s="0" t="s">
        <v>2910</v>
      </c>
      <c r="H857" s="0" t="s">
        <v>2909</v>
      </c>
    </row>
    <row r="858" customFormat="false" ht="14.65" hidden="false" customHeight="false" outlineLevel="0" collapsed="false">
      <c r="A858" s="43" t="s">
        <v>2803</v>
      </c>
      <c r="B858" s="44" t="s">
        <v>2911</v>
      </c>
      <c r="C858" s="45" t="s">
        <v>2466</v>
      </c>
      <c r="F858" s="0" t="str">
        <f aca="false">_xlfn.CONCAT(G858,H858)</f>
        <v>ECTE5062FINANZAS</v>
      </c>
      <c r="G858" s="0" t="s">
        <v>2912</v>
      </c>
      <c r="H858" s="0" t="s">
        <v>2466</v>
      </c>
    </row>
    <row r="859" customFormat="false" ht="14.65" hidden="false" customHeight="false" outlineLevel="0" collapsed="false">
      <c r="A859" s="43" t="s">
        <v>2803</v>
      </c>
      <c r="B859" s="44" t="s">
        <v>2913</v>
      </c>
      <c r="C859" s="45" t="s">
        <v>2914</v>
      </c>
      <c r="F859" s="0" t="str">
        <f aca="false">_xlfn.CONCAT(G859,H859)</f>
        <v>ECTE5063ADMINISTRACION FINANCIERA</v>
      </c>
      <c r="G859" s="0" t="s">
        <v>2915</v>
      </c>
      <c r="H859" s="0" t="s">
        <v>2914</v>
      </c>
    </row>
    <row r="860" customFormat="false" ht="14.65" hidden="false" customHeight="false" outlineLevel="0" collapsed="false">
      <c r="A860" s="43" t="s">
        <v>2803</v>
      </c>
      <c r="B860" s="44" t="s">
        <v>2916</v>
      </c>
      <c r="C860" s="45" t="s">
        <v>2917</v>
      </c>
      <c r="F860" s="0" t="str">
        <f aca="false">_xlfn.CONCAT(G860,H860)</f>
        <v>ECTE5053ENTORNO Y DESARROLLO ORGANIZ</v>
      </c>
      <c r="G860" s="0" t="s">
        <v>2918</v>
      </c>
      <c r="H860" s="0" t="s">
        <v>2917</v>
      </c>
    </row>
    <row r="861" customFormat="false" ht="14.65" hidden="false" customHeight="false" outlineLevel="0" collapsed="false">
      <c r="A861" s="43" t="s">
        <v>2803</v>
      </c>
      <c r="B861" s="44" t="s">
        <v>2919</v>
      </c>
      <c r="C861" s="45" t="s">
        <v>2920</v>
      </c>
      <c r="F861" s="0" t="str">
        <f aca="false">_xlfn.CONCAT(G861,H861)</f>
        <v>ECTE5054GESTION LABORAL</v>
      </c>
      <c r="G861" s="0" t="s">
        <v>2921</v>
      </c>
      <c r="H861" s="0" t="s">
        <v>2920</v>
      </c>
    </row>
    <row r="862" customFormat="false" ht="14.65" hidden="false" customHeight="false" outlineLevel="0" collapsed="false">
      <c r="A862" s="43" t="s">
        <v>2803</v>
      </c>
      <c r="B862" s="44" t="s">
        <v>2922</v>
      </c>
      <c r="C862" s="45" t="s">
        <v>2923</v>
      </c>
      <c r="F862" s="0" t="str">
        <f aca="false">_xlfn.CONCAT(G862,H862)</f>
        <v>ECTE5064TALENTO HUMANO Y EMPRESA</v>
      </c>
      <c r="G862" s="0" t="s">
        <v>2924</v>
      </c>
      <c r="H862" s="0" t="s">
        <v>2923</v>
      </c>
    </row>
    <row r="863" customFormat="false" ht="14.65" hidden="false" customHeight="false" outlineLevel="0" collapsed="false">
      <c r="A863" s="43" t="s">
        <v>2803</v>
      </c>
      <c r="B863" s="44" t="s">
        <v>2925</v>
      </c>
      <c r="C863" s="45" t="s">
        <v>2926</v>
      </c>
      <c r="F863" s="0" t="str">
        <f aca="false">_xlfn.CONCAT(G863,H863)</f>
        <v>ECTE5065TRANSF DIGITAL Y TALENTO HUMAN</v>
      </c>
      <c r="G863" s="0" t="s">
        <v>2927</v>
      </c>
      <c r="H863" s="0" t="s">
        <v>2926</v>
      </c>
    </row>
    <row r="864" customFormat="false" ht="14.65" hidden="false" customHeight="false" outlineLevel="0" collapsed="false">
      <c r="A864" s="43" t="s">
        <v>2803</v>
      </c>
      <c r="B864" s="44" t="s">
        <v>2928</v>
      </c>
      <c r="C864" s="45" t="s">
        <v>2929</v>
      </c>
      <c r="F864" s="0" t="str">
        <f aca="false">_xlfn.CONCAT(G864,H864)</f>
        <v>ECTE5066GESTION DE CAMBIO</v>
      </c>
      <c r="G864" s="0" t="s">
        <v>2930</v>
      </c>
      <c r="H864" s="0" t="s">
        <v>2929</v>
      </c>
    </row>
    <row r="865" customFormat="false" ht="14.65" hidden="false" customHeight="false" outlineLevel="0" collapsed="false">
      <c r="A865" s="43" t="s">
        <v>2803</v>
      </c>
      <c r="B865" s="44" t="s">
        <v>2931</v>
      </c>
      <c r="C865" s="45" t="s">
        <v>2932</v>
      </c>
      <c r="F865" s="0" t="str">
        <f aca="false">_xlfn.CONCAT(G865,H865)</f>
        <v>ECTE5067FUNDAMENTOS DE LEGISL LABORAL</v>
      </c>
      <c r="G865" s="0" t="s">
        <v>2933</v>
      </c>
      <c r="H865" s="0" t="s">
        <v>2932</v>
      </c>
    </row>
    <row r="866" customFormat="false" ht="14.65" hidden="false" customHeight="false" outlineLevel="0" collapsed="false">
      <c r="A866" s="43" t="s">
        <v>2803</v>
      </c>
      <c r="B866" s="44" t="s">
        <v>2934</v>
      </c>
      <c r="C866" s="45" t="s">
        <v>2935</v>
      </c>
      <c r="F866" s="0" t="str">
        <f aca="false">_xlfn.CONCAT(G866,H866)</f>
        <v>ECTE5068RSE Y GESTION HUMANA</v>
      </c>
      <c r="G866" s="0" t="s">
        <v>2936</v>
      </c>
      <c r="H866" s="0" t="s">
        <v>2935</v>
      </c>
    </row>
    <row r="867" customFormat="false" ht="14.65" hidden="false" customHeight="false" outlineLevel="0" collapsed="false">
      <c r="A867" s="43" t="s">
        <v>2937</v>
      </c>
      <c r="B867" s="44" t="s">
        <v>2938</v>
      </c>
      <c r="C867" s="45" t="s">
        <v>2939</v>
      </c>
      <c r="F867" s="0" t="str">
        <f aca="false">_xlfn.CONCAT(G867,H867)</f>
        <v>POMA4050GLOBALIZ ECONOM MERC COMPETI</v>
      </c>
      <c r="G867" s="0" t="s">
        <v>2940</v>
      </c>
      <c r="H867" s="0" t="s">
        <v>2939</v>
      </c>
    </row>
    <row r="868" customFormat="false" ht="14.65" hidden="false" customHeight="false" outlineLevel="0" collapsed="false">
      <c r="A868" s="43" t="s">
        <v>2937</v>
      </c>
      <c r="B868" s="44" t="s">
        <v>2941</v>
      </c>
      <c r="C868" s="45" t="s">
        <v>2942</v>
      </c>
      <c r="F868" s="0" t="str">
        <f aca="false">_xlfn.CONCAT(G868,H868)</f>
        <v>POMA4051LECTURA Y PROC ECONOM DEL PAIS</v>
      </c>
      <c r="G868" s="0" t="s">
        <v>2943</v>
      </c>
      <c r="H868" s="0" t="s">
        <v>2942</v>
      </c>
    </row>
    <row r="869" customFormat="false" ht="14.65" hidden="false" customHeight="false" outlineLevel="0" collapsed="false">
      <c r="A869" s="43" t="s">
        <v>2937</v>
      </c>
      <c r="B869" s="44" t="s">
        <v>2944</v>
      </c>
      <c r="C869" s="45" t="s">
        <v>2945</v>
      </c>
      <c r="F869" s="0" t="str">
        <f aca="false">_xlfn.CONCAT(G869,H869)</f>
        <v>POMA4052ORGANIZ ADMINIST APLICADA</v>
      </c>
      <c r="G869" s="0" t="s">
        <v>2946</v>
      </c>
      <c r="H869" s="0" t="s">
        <v>2945</v>
      </c>
    </row>
    <row r="870" customFormat="false" ht="14.65" hidden="false" customHeight="false" outlineLevel="0" collapsed="false">
      <c r="A870" s="43" t="s">
        <v>2937</v>
      </c>
      <c r="B870" s="44" t="s">
        <v>2947</v>
      </c>
      <c r="C870" s="45" t="s">
        <v>2948</v>
      </c>
      <c r="F870" s="0" t="str">
        <f aca="false">_xlfn.CONCAT(G870,H870)</f>
        <v>POMA4053CREATIVIDAD E INTUICION</v>
      </c>
      <c r="G870" s="0" t="s">
        <v>2949</v>
      </c>
      <c r="H870" s="0" t="s">
        <v>2948</v>
      </c>
    </row>
    <row r="871" customFormat="false" ht="14.65" hidden="false" customHeight="false" outlineLevel="0" collapsed="false">
      <c r="A871" s="43" t="s">
        <v>2937</v>
      </c>
      <c r="B871" s="44" t="s">
        <v>2950</v>
      </c>
      <c r="C871" s="45" t="s">
        <v>2951</v>
      </c>
      <c r="F871" s="0" t="str">
        <f aca="false">_xlfn.CONCAT(G871,H871)</f>
        <v>POMA4054CONTABILIDAD</v>
      </c>
      <c r="G871" s="0" t="s">
        <v>2952</v>
      </c>
      <c r="H871" s="0" t="s">
        <v>2951</v>
      </c>
    </row>
    <row r="872" customFormat="false" ht="14.65" hidden="false" customHeight="false" outlineLevel="0" collapsed="false">
      <c r="A872" s="43" t="s">
        <v>2937</v>
      </c>
      <c r="B872" s="44" t="s">
        <v>2953</v>
      </c>
      <c r="C872" s="45" t="s">
        <v>2954</v>
      </c>
      <c r="F872" s="0" t="str">
        <f aca="false">_xlfn.CONCAT(G872,H872)</f>
        <v>POMA4055ART Y PRAC ORGAN ABIERT APREND</v>
      </c>
      <c r="G872" s="0" t="s">
        <v>2955</v>
      </c>
      <c r="H872" s="0" t="s">
        <v>2954</v>
      </c>
    </row>
    <row r="873" customFormat="false" ht="14.65" hidden="false" customHeight="false" outlineLevel="0" collapsed="false">
      <c r="A873" s="43" t="s">
        <v>2937</v>
      </c>
      <c r="B873" s="44" t="s">
        <v>2956</v>
      </c>
      <c r="C873" s="45" t="s">
        <v>2957</v>
      </c>
      <c r="F873" s="0" t="str">
        <f aca="false">_xlfn.CONCAT(G873,H873)</f>
        <v>POMA4056DESEMP Y PRODUCT DEL REC HUMAN</v>
      </c>
      <c r="G873" s="0" t="s">
        <v>2958</v>
      </c>
      <c r="H873" s="0" t="s">
        <v>2957</v>
      </c>
    </row>
    <row r="874" customFormat="false" ht="14.65" hidden="false" customHeight="false" outlineLevel="0" collapsed="false">
      <c r="A874" s="43" t="s">
        <v>2937</v>
      </c>
      <c r="B874" s="44" t="s">
        <v>2959</v>
      </c>
      <c r="C874" s="45" t="s">
        <v>2960</v>
      </c>
      <c r="F874" s="0" t="str">
        <f aca="false">_xlfn.CONCAT(G874,H874)</f>
        <v>POMA4057TECNOLOGIA Y APRENDIZAJE</v>
      </c>
      <c r="G874" s="0" t="s">
        <v>2961</v>
      </c>
      <c r="H874" s="0" t="s">
        <v>2960</v>
      </c>
    </row>
    <row r="875" customFormat="false" ht="14.65" hidden="false" customHeight="false" outlineLevel="0" collapsed="false">
      <c r="A875" s="43" t="s">
        <v>2937</v>
      </c>
      <c r="B875" s="44" t="s">
        <v>2962</v>
      </c>
      <c r="C875" s="45" t="s">
        <v>2963</v>
      </c>
      <c r="F875" s="0" t="str">
        <f aca="false">_xlfn.CONCAT(G875,H875)</f>
        <v>POMA4058LAB DESAR ORGANIZ Y LIDERAZGO</v>
      </c>
      <c r="G875" s="0" t="s">
        <v>2964</v>
      </c>
      <c r="H875" s="0" t="s">
        <v>2963</v>
      </c>
    </row>
    <row r="876" customFormat="false" ht="14.65" hidden="false" customHeight="false" outlineLevel="0" collapsed="false">
      <c r="A876" s="43" t="s">
        <v>2937</v>
      </c>
      <c r="B876" s="44" t="s">
        <v>2965</v>
      </c>
      <c r="C876" s="45" t="s">
        <v>2966</v>
      </c>
      <c r="F876" s="0" t="str">
        <f aca="false">_xlfn.CONCAT(G876,H876)</f>
        <v>POMA4059ANALISIS FINANCIERO</v>
      </c>
      <c r="G876" s="0" t="s">
        <v>2967</v>
      </c>
      <c r="H876" s="0" t="s">
        <v>2966</v>
      </c>
    </row>
    <row r="877" customFormat="false" ht="14.65" hidden="false" customHeight="false" outlineLevel="0" collapsed="false">
      <c r="A877" s="43" t="s">
        <v>2937</v>
      </c>
      <c r="B877" s="44" t="s">
        <v>2968</v>
      </c>
      <c r="C877" s="45" t="s">
        <v>1442</v>
      </c>
      <c r="F877" s="0" t="str">
        <f aca="false">_xlfn.CONCAT(G877,H877)</f>
        <v>POMA4060MERCADEO</v>
      </c>
      <c r="G877" s="0" t="s">
        <v>2969</v>
      </c>
      <c r="H877" s="0" t="s">
        <v>1442</v>
      </c>
    </row>
    <row r="878" customFormat="false" ht="14.65" hidden="false" customHeight="false" outlineLevel="0" collapsed="false">
      <c r="A878" s="43" t="s">
        <v>2937</v>
      </c>
      <c r="B878" s="44" t="s">
        <v>2970</v>
      </c>
      <c r="C878" s="45" t="s">
        <v>2971</v>
      </c>
      <c r="F878" s="0" t="str">
        <f aca="false">_xlfn.CONCAT(G878,H878)</f>
        <v>POMA4061PLANIF ESTRAT DE LA POLIT EDUC</v>
      </c>
      <c r="G878" s="0" t="s">
        <v>2972</v>
      </c>
      <c r="H878" s="0" t="s">
        <v>2971</v>
      </c>
    </row>
    <row r="879" customFormat="false" ht="14.65" hidden="false" customHeight="false" outlineLevel="0" collapsed="false">
      <c r="A879" s="43" t="s">
        <v>2937</v>
      </c>
      <c r="B879" s="44" t="s">
        <v>2973</v>
      </c>
      <c r="C879" s="45" t="s">
        <v>2974</v>
      </c>
      <c r="F879" s="0" t="str">
        <f aca="false">_xlfn.CONCAT(G879,H879)</f>
        <v>POMA4062DISEN OPER Y CONT DEL PROC EDU</v>
      </c>
      <c r="G879" s="0" t="s">
        <v>2975</v>
      </c>
      <c r="H879" s="0" t="s">
        <v>2974</v>
      </c>
    </row>
    <row r="880" customFormat="false" ht="14.65" hidden="false" customHeight="false" outlineLevel="0" collapsed="false">
      <c r="A880" s="43" t="s">
        <v>2937</v>
      </c>
      <c r="B880" s="44" t="s">
        <v>2976</v>
      </c>
      <c r="C880" s="45" t="s">
        <v>2977</v>
      </c>
      <c r="F880" s="0" t="str">
        <f aca="false">_xlfn.CONCAT(G880,H880)</f>
        <v>POMA4063FORMUL Y EVALUAC DE PROY EDUCA</v>
      </c>
      <c r="G880" s="0" t="s">
        <v>2978</v>
      </c>
      <c r="H880" s="0" t="s">
        <v>2977</v>
      </c>
    </row>
    <row r="881" customFormat="false" ht="14.65" hidden="false" customHeight="false" outlineLevel="0" collapsed="false">
      <c r="A881" s="43" t="s">
        <v>2937</v>
      </c>
      <c r="B881" s="44" t="s">
        <v>2979</v>
      </c>
      <c r="C881" s="45" t="s">
        <v>2980</v>
      </c>
      <c r="F881" s="0" t="str">
        <f aca="false">_xlfn.CONCAT(G881,H881)</f>
        <v>POMA4064GERENCIA DE EMPRESAS EDUCATIV</v>
      </c>
      <c r="G881" s="0" t="s">
        <v>2981</v>
      </c>
      <c r="H881" s="0" t="s">
        <v>2980</v>
      </c>
    </row>
    <row r="882" customFormat="false" ht="14.65" hidden="false" customHeight="false" outlineLevel="0" collapsed="false">
      <c r="A882" s="43" t="s">
        <v>2937</v>
      </c>
      <c r="B882" s="44" t="s">
        <v>2982</v>
      </c>
      <c r="C882" s="45" t="s">
        <v>2983</v>
      </c>
      <c r="F882" s="0" t="str">
        <f aca="false">_xlfn.CONCAT(G882,H882)</f>
        <v>POMA4065ENTORNO LEGAL EDUCATIVO</v>
      </c>
      <c r="G882" s="0" t="s">
        <v>2984</v>
      </c>
      <c r="H882" s="0" t="s">
        <v>2983</v>
      </c>
    </row>
    <row r="883" customFormat="false" ht="14.65" hidden="false" customHeight="false" outlineLevel="0" collapsed="false">
      <c r="A883" s="43" t="s">
        <v>2937</v>
      </c>
      <c r="B883" s="44" t="s">
        <v>2985</v>
      </c>
      <c r="C883" s="45" t="s">
        <v>2034</v>
      </c>
      <c r="F883" s="0" t="str">
        <f aca="false">_xlfn.CONCAT(G883,H883)</f>
        <v>POMA4066FILOSOFIA DE LA EDUCACION</v>
      </c>
      <c r="G883" s="0" t="s">
        <v>2986</v>
      </c>
      <c r="H883" s="0" t="s">
        <v>2034</v>
      </c>
    </row>
    <row r="884" customFormat="false" ht="14.65" hidden="false" customHeight="false" outlineLevel="0" collapsed="false">
      <c r="A884" s="43" t="s">
        <v>2937</v>
      </c>
      <c r="B884" s="44" t="s">
        <v>2987</v>
      </c>
      <c r="C884" s="45" t="s">
        <v>2988</v>
      </c>
      <c r="F884" s="0" t="str">
        <f aca="false">_xlfn.CONCAT(G884,H884)</f>
        <v>POMA4067HISTORIA DE LA EDUCACION</v>
      </c>
      <c r="G884" s="0" t="s">
        <v>2989</v>
      </c>
      <c r="H884" s="0" t="s">
        <v>2988</v>
      </c>
    </row>
    <row r="885" customFormat="false" ht="14.65" hidden="false" customHeight="false" outlineLevel="0" collapsed="false">
      <c r="A885" s="43" t="s">
        <v>2937</v>
      </c>
      <c r="B885" s="44" t="s">
        <v>2990</v>
      </c>
      <c r="C885" s="45" t="s">
        <v>2340</v>
      </c>
      <c r="F885" s="0" t="str">
        <f aca="false">_xlfn.CONCAT(G885,H885)</f>
        <v>POMA4068SOCIOLOGIA DE LA EDUCACION</v>
      </c>
      <c r="G885" s="0" t="s">
        <v>2991</v>
      </c>
      <c r="H885" s="0" t="s">
        <v>2340</v>
      </c>
    </row>
    <row r="886" customFormat="false" ht="14.65" hidden="false" customHeight="false" outlineLevel="0" collapsed="false">
      <c r="A886" s="43" t="s">
        <v>2937</v>
      </c>
      <c r="B886" s="44" t="s">
        <v>2992</v>
      </c>
      <c r="C886" s="45" t="s">
        <v>2993</v>
      </c>
      <c r="F886" s="0" t="str">
        <f aca="false">_xlfn.CONCAT(G886,H886)</f>
        <v>POMA4069DIDACTICA GENERAL</v>
      </c>
      <c r="G886" s="0" t="s">
        <v>2994</v>
      </c>
      <c r="H886" s="0" t="s">
        <v>2993</v>
      </c>
    </row>
    <row r="887" customFormat="false" ht="14.65" hidden="false" customHeight="false" outlineLevel="0" collapsed="false">
      <c r="A887" s="43" t="s">
        <v>2937</v>
      </c>
      <c r="B887" s="44" t="s">
        <v>2995</v>
      </c>
      <c r="C887" s="45" t="s">
        <v>2996</v>
      </c>
      <c r="F887" s="0" t="str">
        <f aca="false">_xlfn.CONCAT(G887,H887)</f>
        <v>POMA4070PSICOPEDAGOGIA</v>
      </c>
      <c r="G887" s="0" t="s">
        <v>2997</v>
      </c>
      <c r="H887" s="0" t="s">
        <v>2996</v>
      </c>
    </row>
    <row r="888" customFormat="false" ht="14.65" hidden="false" customHeight="false" outlineLevel="0" collapsed="false">
      <c r="A888" s="43" t="s">
        <v>2937</v>
      </c>
      <c r="B888" s="44" t="s">
        <v>2998</v>
      </c>
      <c r="C888" s="45" t="s">
        <v>2999</v>
      </c>
      <c r="F888" s="0" t="str">
        <f aca="false">_xlfn.CONCAT(G888,H888)</f>
        <v>POMA4071ADM. Y DESARROLLO DEL CURRICUL</v>
      </c>
      <c r="G888" s="0" t="s">
        <v>3000</v>
      </c>
      <c r="H888" s="0" t="s">
        <v>2999</v>
      </c>
    </row>
    <row r="889" customFormat="false" ht="14.65" hidden="false" customHeight="false" outlineLevel="0" collapsed="false">
      <c r="A889" s="43" t="s">
        <v>2937</v>
      </c>
      <c r="B889" s="44" t="s">
        <v>3001</v>
      </c>
      <c r="C889" s="45" t="s">
        <v>3002</v>
      </c>
      <c r="F889" s="0" t="str">
        <f aca="false">_xlfn.CONCAT(G889,H889)</f>
        <v>POMA4072EVALUACION EDUCATIVA</v>
      </c>
      <c r="G889" s="0" t="s">
        <v>3003</v>
      </c>
      <c r="H889" s="0" t="s">
        <v>3002</v>
      </c>
    </row>
    <row r="890" customFormat="false" ht="14.65" hidden="false" customHeight="false" outlineLevel="0" collapsed="false">
      <c r="A890" s="43" t="s">
        <v>2937</v>
      </c>
      <c r="B890" s="44" t="s">
        <v>3004</v>
      </c>
      <c r="C890" s="45" t="s">
        <v>3005</v>
      </c>
      <c r="F890" s="0" t="str">
        <f aca="false">_xlfn.CONCAT(G890,H890)</f>
        <v>POMA4073EDUCACION COMPARADA</v>
      </c>
      <c r="G890" s="0" t="s">
        <v>3006</v>
      </c>
      <c r="H890" s="0" t="s">
        <v>3005</v>
      </c>
    </row>
    <row r="891" customFormat="false" ht="14.65" hidden="false" customHeight="false" outlineLevel="0" collapsed="false">
      <c r="A891" s="43" t="s">
        <v>2937</v>
      </c>
      <c r="B891" s="44" t="s">
        <v>3007</v>
      </c>
      <c r="C891" s="45" t="s">
        <v>3008</v>
      </c>
      <c r="F891" s="0" t="str">
        <f aca="false">_xlfn.CONCAT(G891,H891)</f>
        <v>POMA4075PLANEAM DE DISENO CURRICULAR</v>
      </c>
      <c r="G891" s="0" t="s">
        <v>3009</v>
      </c>
      <c r="H891" s="0" t="s">
        <v>3008</v>
      </c>
    </row>
    <row r="892" customFormat="false" ht="14.65" hidden="false" customHeight="false" outlineLevel="0" collapsed="false">
      <c r="A892" s="43" t="s">
        <v>2937</v>
      </c>
      <c r="B892" s="44" t="s">
        <v>3010</v>
      </c>
      <c r="C892" s="45" t="s">
        <v>3011</v>
      </c>
      <c r="F892" s="0" t="str">
        <f aca="false">_xlfn.CONCAT(G892,H892)</f>
        <v>POMA4076INSTRUM DE INVESTI Y EVALU</v>
      </c>
      <c r="G892" s="0" t="s">
        <v>3012</v>
      </c>
      <c r="H892" s="0" t="s">
        <v>3011</v>
      </c>
    </row>
    <row r="893" customFormat="false" ht="14.65" hidden="false" customHeight="false" outlineLevel="0" collapsed="false">
      <c r="A893" s="43" t="s">
        <v>2937</v>
      </c>
      <c r="B893" s="44" t="s">
        <v>3013</v>
      </c>
      <c r="C893" s="45" t="s">
        <v>3014</v>
      </c>
      <c r="F893" s="0" t="str">
        <f aca="false">_xlfn.CONCAT(G893,H893)</f>
        <v>POMA4077TALLER MULTIM Y MAT DIDACT</v>
      </c>
      <c r="G893" s="0" t="s">
        <v>3015</v>
      </c>
      <c r="H893" s="0" t="s">
        <v>3014</v>
      </c>
    </row>
    <row r="894" customFormat="false" ht="14.65" hidden="false" customHeight="false" outlineLevel="0" collapsed="false">
      <c r="A894" s="43" t="s">
        <v>2937</v>
      </c>
      <c r="B894" s="44" t="s">
        <v>3016</v>
      </c>
      <c r="C894" s="45" t="s">
        <v>3017</v>
      </c>
      <c r="F894" s="0" t="str">
        <f aca="false">_xlfn.CONCAT(G894,H894)</f>
        <v>POMA4078PLANIF ESTRAT DE LA POLITICA</v>
      </c>
      <c r="G894" s="0" t="s">
        <v>3018</v>
      </c>
      <c r="H894" s="0" t="s">
        <v>3017</v>
      </c>
    </row>
    <row r="895" customFormat="false" ht="14.65" hidden="false" customHeight="false" outlineLevel="0" collapsed="false">
      <c r="A895" s="43" t="s">
        <v>2937</v>
      </c>
      <c r="B895" s="44" t="s">
        <v>3019</v>
      </c>
      <c r="C895" s="45" t="s">
        <v>3020</v>
      </c>
      <c r="F895" s="0" t="str">
        <f aca="false">_xlfn.CONCAT(G895,H895)</f>
        <v>POMA4079ADMINISTRACION EDUCATIVA</v>
      </c>
      <c r="G895" s="0" t="s">
        <v>3021</v>
      </c>
      <c r="H895" s="0" t="s">
        <v>3020</v>
      </c>
    </row>
    <row r="896" customFormat="false" ht="14.65" hidden="false" customHeight="false" outlineLevel="0" collapsed="false">
      <c r="A896" s="43" t="s">
        <v>2937</v>
      </c>
      <c r="B896" s="44" t="s">
        <v>3022</v>
      </c>
      <c r="C896" s="45" t="s">
        <v>3023</v>
      </c>
      <c r="F896" s="0" t="str">
        <f aca="false">_xlfn.CONCAT(G896,H896)</f>
        <v>POMA4080FORMUL Y EVAL DE PROYEC EDUCAT</v>
      </c>
      <c r="G896" s="0" t="s">
        <v>3024</v>
      </c>
      <c r="H896" s="0" t="s">
        <v>3023</v>
      </c>
    </row>
    <row r="897" customFormat="false" ht="14.65" hidden="false" customHeight="false" outlineLevel="0" collapsed="false">
      <c r="A897" s="43" t="s">
        <v>2937</v>
      </c>
      <c r="B897" s="44" t="s">
        <v>3025</v>
      </c>
      <c r="C897" s="45" t="s">
        <v>3026</v>
      </c>
      <c r="F897" s="0" t="str">
        <f aca="false">_xlfn.CONCAT(G897,H897)</f>
        <v>POMA4081DISENO OPER Y CONTR  PROC EDUC</v>
      </c>
      <c r="G897" s="0" t="s">
        <v>3027</v>
      </c>
      <c r="H897" s="0" t="s">
        <v>3026</v>
      </c>
    </row>
    <row r="898" customFormat="false" ht="14.65" hidden="false" customHeight="false" outlineLevel="0" collapsed="false">
      <c r="A898" s="43" t="s">
        <v>2937</v>
      </c>
      <c r="B898" s="44" t="s">
        <v>3028</v>
      </c>
      <c r="C898" s="45" t="s">
        <v>3029</v>
      </c>
      <c r="F898" s="0" t="str">
        <f aca="false">_xlfn.CONCAT(G898,H898)</f>
        <v>POMA5000ADMIN DE LA PROD Y OPERAC</v>
      </c>
      <c r="G898" s="0" t="s">
        <v>3030</v>
      </c>
      <c r="H898" s="0" t="s">
        <v>3029</v>
      </c>
    </row>
    <row r="899" customFormat="false" ht="14.65" hidden="false" customHeight="false" outlineLevel="0" collapsed="false">
      <c r="A899" s="43" t="s">
        <v>2937</v>
      </c>
      <c r="B899" s="44" t="s">
        <v>3031</v>
      </c>
      <c r="C899" s="45" t="s">
        <v>1437</v>
      </c>
      <c r="F899" s="0" t="str">
        <f aca="false">_xlfn.CONCAT(G899,H899)</f>
        <v>POMA5018ADMINISTRACION GENERAL</v>
      </c>
      <c r="G899" s="0" t="s">
        <v>3032</v>
      </c>
      <c r="H899" s="0" t="s">
        <v>1437</v>
      </c>
    </row>
    <row r="900" customFormat="false" ht="14.65" hidden="false" customHeight="false" outlineLevel="0" collapsed="false">
      <c r="A900" s="43" t="s">
        <v>2937</v>
      </c>
      <c r="B900" s="44" t="s">
        <v>3033</v>
      </c>
      <c r="C900" s="45" t="s">
        <v>3034</v>
      </c>
      <c r="F900" s="0" t="str">
        <f aca="false">_xlfn.CONCAT(G900,H900)</f>
        <v>POMA5002EVOL Y DESARROLLO EMPRESARIAL</v>
      </c>
      <c r="G900" s="0" t="s">
        <v>3035</v>
      </c>
      <c r="H900" s="0" t="s">
        <v>3034</v>
      </c>
    </row>
    <row r="901" customFormat="false" ht="14.65" hidden="false" customHeight="false" outlineLevel="0" collapsed="false">
      <c r="A901" s="43" t="s">
        <v>2937</v>
      </c>
      <c r="B901" s="44" t="s">
        <v>3036</v>
      </c>
      <c r="C901" s="45" t="s">
        <v>2466</v>
      </c>
      <c r="F901" s="0" t="str">
        <f aca="false">_xlfn.CONCAT(G901,H901)</f>
        <v>POMA5019FINANZAS</v>
      </c>
      <c r="G901" s="0" t="s">
        <v>3037</v>
      </c>
      <c r="H901" s="0" t="s">
        <v>2466</v>
      </c>
    </row>
    <row r="902" customFormat="false" ht="14.65" hidden="false" customHeight="false" outlineLevel="0" collapsed="false">
      <c r="A902" s="43" t="s">
        <v>2937</v>
      </c>
      <c r="B902" s="44" t="s">
        <v>3038</v>
      </c>
      <c r="C902" s="45" t="s">
        <v>3039</v>
      </c>
      <c r="F902" s="0" t="str">
        <f aca="false">_xlfn.CONCAT(G902,H902)</f>
        <v>POMA5004DIRECCION FINANCIERA</v>
      </c>
      <c r="G902" s="0" t="s">
        <v>3040</v>
      </c>
      <c r="H902" s="0" t="s">
        <v>3039</v>
      </c>
    </row>
    <row r="903" customFormat="false" ht="14.65" hidden="false" customHeight="false" outlineLevel="0" collapsed="false">
      <c r="A903" s="43" t="s">
        <v>2937</v>
      </c>
      <c r="B903" s="44" t="s">
        <v>3041</v>
      </c>
      <c r="C903" s="45" t="s">
        <v>1442</v>
      </c>
      <c r="F903" s="0" t="str">
        <f aca="false">_xlfn.CONCAT(G903,H903)</f>
        <v>POMA5020MERCADEO</v>
      </c>
      <c r="G903" s="0" t="s">
        <v>3042</v>
      </c>
      <c r="H903" s="0" t="s">
        <v>1442</v>
      </c>
    </row>
    <row r="904" customFormat="false" ht="14.65" hidden="false" customHeight="false" outlineLevel="0" collapsed="false">
      <c r="A904" s="43" t="s">
        <v>2937</v>
      </c>
      <c r="B904" s="44" t="s">
        <v>3043</v>
      </c>
      <c r="C904" s="45" t="s">
        <v>3044</v>
      </c>
      <c r="F904" s="0" t="str">
        <f aca="false">_xlfn.CONCAT(G904,H904)</f>
        <v>POMA5006INTELIGENCIA DE NEGOCIOS</v>
      </c>
      <c r="G904" s="0" t="s">
        <v>3045</v>
      </c>
      <c r="H904" s="0" t="s">
        <v>3044</v>
      </c>
    </row>
    <row r="905" customFormat="false" ht="14.65" hidden="false" customHeight="false" outlineLevel="0" collapsed="false">
      <c r="A905" s="43" t="s">
        <v>2937</v>
      </c>
      <c r="B905" s="44" t="s">
        <v>3046</v>
      </c>
      <c r="C905" s="45" t="s">
        <v>3047</v>
      </c>
      <c r="F905" s="0" t="str">
        <f aca="false">_xlfn.CONCAT(G905,H905)</f>
        <v>POMA5007ENTORNO HUMANO DE LAS ORGANIZ</v>
      </c>
      <c r="G905" s="0" t="s">
        <v>3048</v>
      </c>
      <c r="H905" s="0" t="s">
        <v>3047</v>
      </c>
    </row>
    <row r="906" customFormat="false" ht="14.65" hidden="false" customHeight="false" outlineLevel="0" collapsed="false">
      <c r="A906" s="43" t="s">
        <v>2937</v>
      </c>
      <c r="B906" s="44" t="s">
        <v>3049</v>
      </c>
      <c r="C906" s="45" t="s">
        <v>3050</v>
      </c>
      <c r="F906" s="0" t="str">
        <f aca="false">_xlfn.CONCAT(G906,H906)</f>
        <v>POMA5008CONTROL Y CONTABILIDAD ADMIN</v>
      </c>
      <c r="G906" s="0" t="s">
        <v>3051</v>
      </c>
      <c r="H906" s="0" t="s">
        <v>3050</v>
      </c>
    </row>
    <row r="907" customFormat="false" ht="14.65" hidden="false" customHeight="false" outlineLevel="0" collapsed="false">
      <c r="A907" s="43" t="s">
        <v>2937</v>
      </c>
      <c r="B907" s="44" t="s">
        <v>3052</v>
      </c>
      <c r="C907" s="45" t="s">
        <v>3053</v>
      </c>
      <c r="F907" s="0" t="str">
        <f aca="false">_xlfn.CONCAT(G907,H907)</f>
        <v>POMA5009ETICA EN LOS NEGOCIOS</v>
      </c>
      <c r="G907" s="0" t="s">
        <v>3054</v>
      </c>
      <c r="H907" s="0" t="s">
        <v>3053</v>
      </c>
    </row>
    <row r="908" customFormat="false" ht="14.65" hidden="false" customHeight="false" outlineLevel="0" collapsed="false">
      <c r="A908" s="43" t="s">
        <v>2937</v>
      </c>
      <c r="B908" s="44" t="s">
        <v>3055</v>
      </c>
      <c r="C908" s="45" t="s">
        <v>1130</v>
      </c>
      <c r="F908" s="0" t="str">
        <f aca="false">_xlfn.CONCAT(G908,H908)</f>
        <v>POMA5010METODOS DE INVESTIGACION</v>
      </c>
      <c r="G908" s="0" t="s">
        <v>3056</v>
      </c>
      <c r="H908" s="0" t="s">
        <v>1130</v>
      </c>
    </row>
    <row r="909" customFormat="false" ht="14.65" hidden="false" customHeight="false" outlineLevel="0" collapsed="false">
      <c r="A909" s="43" t="s">
        <v>2937</v>
      </c>
      <c r="B909" s="44" t="s">
        <v>3057</v>
      </c>
      <c r="C909" s="45" t="s">
        <v>3058</v>
      </c>
      <c r="F909" s="0" t="str">
        <f aca="false">_xlfn.CONCAT(G909,H909)</f>
        <v>POMA5011ESTRATEGIA GERENCIAL</v>
      </c>
      <c r="G909" s="0" t="s">
        <v>3059</v>
      </c>
      <c r="H909" s="0" t="s">
        <v>3058</v>
      </c>
    </row>
    <row r="910" customFormat="false" ht="14.65" hidden="false" customHeight="false" outlineLevel="0" collapsed="false">
      <c r="A910" s="43" t="s">
        <v>2937</v>
      </c>
      <c r="B910" s="44" t="s">
        <v>3060</v>
      </c>
      <c r="C910" s="45" t="s">
        <v>1537</v>
      </c>
      <c r="F910" s="0" t="str">
        <f aca="false">_xlfn.CONCAT(G910,H910)</f>
        <v>POMA5012CALIDAD PROFESIONAL</v>
      </c>
      <c r="G910" s="0" t="s">
        <v>3061</v>
      </c>
      <c r="H910" s="0" t="s">
        <v>1537</v>
      </c>
    </row>
    <row r="911" customFormat="false" ht="14.65" hidden="false" customHeight="false" outlineLevel="0" collapsed="false">
      <c r="A911" s="43" t="s">
        <v>2937</v>
      </c>
      <c r="B911" s="44" t="s">
        <v>3062</v>
      </c>
      <c r="C911" s="45" t="s">
        <v>3063</v>
      </c>
      <c r="F911" s="0" t="str">
        <f aca="false">_xlfn.CONCAT(G911,H911)</f>
        <v>POMA5013SIST Y TECN INFORM COMPETIT</v>
      </c>
      <c r="G911" s="0" t="s">
        <v>3064</v>
      </c>
      <c r="H911" s="0" t="s">
        <v>3063</v>
      </c>
    </row>
    <row r="912" customFormat="false" ht="14.65" hidden="false" customHeight="false" outlineLevel="0" collapsed="false">
      <c r="A912" s="43" t="s">
        <v>2937</v>
      </c>
      <c r="B912" s="44" t="s">
        <v>3065</v>
      </c>
      <c r="C912" s="45" t="s">
        <v>1233</v>
      </c>
      <c r="F912" s="0" t="str">
        <f aca="false">_xlfn.CONCAT(G912,H912)</f>
        <v>POMA5014PROYECTO DE GRADUACION</v>
      </c>
      <c r="G912" s="0" t="s">
        <v>3066</v>
      </c>
      <c r="H912" s="0" t="s">
        <v>1233</v>
      </c>
    </row>
    <row r="913" customFormat="false" ht="14.65" hidden="false" customHeight="false" outlineLevel="0" collapsed="false">
      <c r="A913" s="43" t="s">
        <v>2937</v>
      </c>
      <c r="B913" s="44" t="s">
        <v>3067</v>
      </c>
      <c r="C913" s="45" t="s">
        <v>3068</v>
      </c>
      <c r="F913" s="0" t="str">
        <f aca="false">_xlfn.CONCAT(G913,H913)</f>
        <v>POMA5015COMERCIO Y FINANZAS INTERN</v>
      </c>
      <c r="G913" s="0" t="s">
        <v>3069</v>
      </c>
      <c r="H913" s="0" t="s">
        <v>3068</v>
      </c>
    </row>
    <row r="914" customFormat="false" ht="14.65" hidden="false" customHeight="false" outlineLevel="0" collapsed="false">
      <c r="A914" s="43" t="s">
        <v>2937</v>
      </c>
      <c r="B914" s="44" t="s">
        <v>3070</v>
      </c>
      <c r="C914" s="45" t="s">
        <v>3071</v>
      </c>
      <c r="F914" s="0" t="str">
        <f aca="false">_xlfn.CONCAT(G914,H914)</f>
        <v>POMA5016DECISIONES DE INVERS Y FINANC</v>
      </c>
      <c r="G914" s="0" t="s">
        <v>3072</v>
      </c>
      <c r="H914" s="0" t="s">
        <v>3071</v>
      </c>
    </row>
    <row r="915" customFormat="false" ht="14.65" hidden="false" customHeight="false" outlineLevel="0" collapsed="false">
      <c r="A915" s="43" t="s">
        <v>2937</v>
      </c>
      <c r="B915" s="44" t="s">
        <v>3073</v>
      </c>
      <c r="C915" s="45" t="s">
        <v>3074</v>
      </c>
      <c r="F915" s="0" t="str">
        <f aca="false">_xlfn.CONCAT(G915,H915)</f>
        <v>POMA5017MERCAD E INTERMEDIARIOS FINANC</v>
      </c>
      <c r="G915" s="0" t="s">
        <v>3075</v>
      </c>
      <c r="H915" s="0" t="s">
        <v>3074</v>
      </c>
    </row>
    <row r="916" customFormat="false" ht="14.65" hidden="false" customHeight="false" outlineLevel="0" collapsed="false">
      <c r="A916" s="43" t="s">
        <v>2937</v>
      </c>
      <c r="B916" s="44" t="s">
        <v>3076</v>
      </c>
      <c r="C916" s="45" t="s">
        <v>3077</v>
      </c>
      <c r="F916" s="0" t="str">
        <f aca="false">_xlfn.CONCAT(G916,H916)</f>
        <v>POMA5021PROYECTO DE GRADUACION II</v>
      </c>
      <c r="G916" s="0" t="s">
        <v>3078</v>
      </c>
      <c r="H916" s="0" t="s">
        <v>3077</v>
      </c>
    </row>
    <row r="917" customFormat="false" ht="14.65" hidden="false" customHeight="false" outlineLevel="0" collapsed="false">
      <c r="A917" s="43" t="s">
        <v>1175</v>
      </c>
      <c r="B917" s="44" t="s">
        <v>1470</v>
      </c>
      <c r="C917" s="45" t="s">
        <v>3079</v>
      </c>
      <c r="F917" s="0" t="str">
        <f aca="false">_xlfn.CONCAT(G917,H917)</f>
        <v>CSCE0053HISTORIA DE COSTA RICA I</v>
      </c>
      <c r="G917" s="0" t="s">
        <v>3080</v>
      </c>
      <c r="H917" s="0" t="s">
        <v>3079</v>
      </c>
    </row>
    <row r="918" customFormat="false" ht="14.65" hidden="false" customHeight="false" outlineLevel="0" collapsed="false">
      <c r="A918" s="43" t="s">
        <v>1175</v>
      </c>
      <c r="B918" s="44" t="s">
        <v>1606</v>
      </c>
      <c r="C918" s="45" t="s">
        <v>3081</v>
      </c>
      <c r="F918" s="0" t="str">
        <f aca="false">_xlfn.CONCAT(G918,H918)</f>
        <v>CSCE0054HISTORIA DE AMERICA I</v>
      </c>
      <c r="G918" s="0" t="s">
        <v>3082</v>
      </c>
      <c r="H918" s="0" t="s">
        <v>3081</v>
      </c>
    </row>
    <row r="919" customFormat="false" ht="14.65" hidden="false" customHeight="false" outlineLevel="0" collapsed="false">
      <c r="A919" s="43" t="s">
        <v>1175</v>
      </c>
      <c r="B919" s="44" t="s">
        <v>3083</v>
      </c>
      <c r="C919" s="45" t="s">
        <v>3084</v>
      </c>
      <c r="F919" s="0" t="str">
        <f aca="false">_xlfn.CONCAT(G919,H919)</f>
        <v>CSCE2093PRUEBA GRADO 2 EST. SOCIALES</v>
      </c>
      <c r="G919" s="0" t="s">
        <v>3085</v>
      </c>
      <c r="H919" s="0" t="s">
        <v>3084</v>
      </c>
    </row>
    <row r="920" customFormat="false" ht="14.65" hidden="false" customHeight="false" outlineLevel="0" collapsed="false">
      <c r="A920" s="43" t="s">
        <v>1175</v>
      </c>
      <c r="B920" s="44" t="s">
        <v>3086</v>
      </c>
      <c r="C920" s="45" t="s">
        <v>3087</v>
      </c>
      <c r="F920" s="0" t="str">
        <f aca="false">_xlfn.CONCAT(G920,H920)</f>
        <v>CSCE2094PRUEBA GRADO 3 EST. SOCIALES</v>
      </c>
      <c r="G920" s="0" t="s">
        <v>3088</v>
      </c>
      <c r="H920" s="0" t="s">
        <v>3087</v>
      </c>
    </row>
    <row r="921" customFormat="false" ht="14.65" hidden="false" customHeight="false" outlineLevel="0" collapsed="false">
      <c r="A921" s="46" t="s">
        <v>1175</v>
      </c>
      <c r="B921" s="47" t="s">
        <v>3089</v>
      </c>
      <c r="C921" s="48" t="s">
        <v>926</v>
      </c>
      <c r="F921" s="0" t="str">
        <f aca="false">_xlfn.CONCAT(G921,H921)</f>
        <v>CSCE2095PRUEBA GRADO 1 CIENCIAS</v>
      </c>
      <c r="G921" s="0" t="s">
        <v>3090</v>
      </c>
      <c r="H921" s="0" t="s">
        <v>926</v>
      </c>
    </row>
    <row r="922" customFormat="false" ht="14.65" hidden="false" customHeight="false" outlineLevel="0" collapsed="false">
      <c r="A922" s="46" t="s">
        <v>1175</v>
      </c>
      <c r="B922" s="47" t="s">
        <v>3091</v>
      </c>
      <c r="C922" s="48" t="s">
        <v>942</v>
      </c>
      <c r="F922" s="0" t="str">
        <f aca="false">_xlfn.CONCAT(G922,H922)</f>
        <v>CSCE2096PRUEBA GRADO 2 CIENCIAS</v>
      </c>
      <c r="G922" s="0" t="s">
        <v>3092</v>
      </c>
      <c r="H922" s="0" t="s">
        <v>942</v>
      </c>
    </row>
    <row r="923" customFormat="false" ht="14.65" hidden="false" customHeight="false" outlineLevel="0" collapsed="false">
      <c r="A923" s="46" t="s">
        <v>1175</v>
      </c>
      <c r="B923" s="47" t="s">
        <v>3093</v>
      </c>
      <c r="C923" s="48" t="s">
        <v>954</v>
      </c>
      <c r="F923" s="0" t="str">
        <f aca="false">_xlfn.CONCAT(G923,H923)</f>
        <v>CSCE2097PRUEBA GRADO 3 CIENCIAS</v>
      </c>
      <c r="G923" s="0" t="s">
        <v>3094</v>
      </c>
      <c r="H923" s="0" t="s">
        <v>954</v>
      </c>
    </row>
    <row r="924" customFormat="false" ht="14.65" hidden="false" customHeight="false" outlineLevel="0" collapsed="false">
      <c r="A924" s="46" t="s">
        <v>1175</v>
      </c>
      <c r="B924" s="47" t="s">
        <v>3095</v>
      </c>
      <c r="C924" s="48" t="s">
        <v>3096</v>
      </c>
      <c r="F924" s="0" t="str">
        <f aca="false">_xlfn.CONCAT(G924,H924)</f>
        <v>CSCE2098PRUEBA GRADO 1 ESPANOL</v>
      </c>
      <c r="G924" s="0" t="s">
        <v>3097</v>
      </c>
      <c r="H924" s="0" t="s">
        <v>3096</v>
      </c>
    </row>
    <row r="925" customFormat="false" ht="14.65" hidden="false" customHeight="false" outlineLevel="0" collapsed="false">
      <c r="A925" s="46" t="s">
        <v>1175</v>
      </c>
      <c r="B925" s="47" t="s">
        <v>3098</v>
      </c>
      <c r="C925" s="48" t="s">
        <v>3099</v>
      </c>
      <c r="F925" s="0" t="str">
        <f aca="false">_xlfn.CONCAT(G925,H925)</f>
        <v>CSCE2099PRUEBA GRADO 2 ESPANOL</v>
      </c>
      <c r="G925" s="0" t="s">
        <v>3100</v>
      </c>
      <c r="H925" s="0" t="s">
        <v>3099</v>
      </c>
    </row>
    <row r="926" customFormat="false" ht="14.65" hidden="false" customHeight="false" outlineLevel="0" collapsed="false">
      <c r="A926" s="46" t="s">
        <v>1175</v>
      </c>
      <c r="B926" s="47" t="s">
        <v>3101</v>
      </c>
      <c r="C926" s="48" t="s">
        <v>3102</v>
      </c>
      <c r="F926" s="0" t="str">
        <f aca="false">_xlfn.CONCAT(G926,H926)</f>
        <v>CSCE2100PRUEBA GRADO 3 ESPANOL</v>
      </c>
      <c r="G926" s="0" t="s">
        <v>3103</v>
      </c>
      <c r="H926" s="0" t="s">
        <v>3102</v>
      </c>
    </row>
    <row r="927" customFormat="false" ht="14.65" hidden="false" customHeight="false" outlineLevel="0" collapsed="false">
      <c r="A927" s="46" t="s">
        <v>1178</v>
      </c>
      <c r="B927" s="47" t="s">
        <v>1802</v>
      </c>
      <c r="C927" s="48" t="s">
        <v>3104</v>
      </c>
      <c r="F927" s="0" t="str">
        <f aca="false">_xlfn.CONCAT(G927,H927)</f>
        <v>AHCN0125ELECTIVA HUMANISTICA II</v>
      </c>
      <c r="G927" s="0" t="s">
        <v>3105</v>
      </c>
      <c r="H927" s="0" t="s">
        <v>3104</v>
      </c>
    </row>
    <row r="928" customFormat="false" ht="14.65" hidden="false" customHeight="false" outlineLevel="0" collapsed="false">
      <c r="A928" s="49" t="s">
        <v>1178</v>
      </c>
      <c r="B928" s="50" t="s">
        <v>3106</v>
      </c>
      <c r="C928" s="51" t="s">
        <v>3107</v>
      </c>
      <c r="F928" s="0" t="str">
        <f aca="false">_xlfn.CONCAT(G928,H928)</f>
        <v>AHCN0200EMPRENDEDURISMO</v>
      </c>
      <c r="G928" s="0" t="s">
        <v>3108</v>
      </c>
      <c r="H928" s="0" t="s">
        <v>3107</v>
      </c>
    </row>
    <row r="929" customFormat="false" ht="14.65" hidden="false" customHeight="false" outlineLevel="0" collapsed="false">
      <c r="A929" s="52" t="s">
        <v>1178</v>
      </c>
      <c r="B929" s="53" t="s">
        <v>3109</v>
      </c>
      <c r="C929" s="54" t="s">
        <v>3110</v>
      </c>
      <c r="F929" s="0" t="str">
        <f aca="false">_xlfn.CONCAT(G929,H929)</f>
        <v>AHCN0201APROVECHAMIENTO DEL TIEMPO</v>
      </c>
      <c r="G929" s="0" t="s">
        <v>3111</v>
      </c>
      <c r="H929" s="0" t="s">
        <v>3110</v>
      </c>
    </row>
    <row r="930" customFormat="false" ht="14.65" hidden="false" customHeight="false" outlineLevel="0" collapsed="false">
      <c r="A930" s="55" t="s">
        <v>1171</v>
      </c>
      <c r="B930" s="56" t="s">
        <v>1214</v>
      </c>
      <c r="C930" s="57" t="s">
        <v>3112</v>
      </c>
      <c r="F930" s="0" t="str">
        <f aca="false">_xlfn.CONCAT(G930,H930)</f>
        <v>CCCO2011COMUNICACION ESTRATEGICA</v>
      </c>
      <c r="G930" s="0" t="s">
        <v>148</v>
      </c>
      <c r="H930" s="0" t="s">
        <v>3112</v>
      </c>
    </row>
    <row r="931" customFormat="false" ht="14.65" hidden="false" customHeight="false" outlineLevel="0" collapsed="false">
      <c r="A931" s="55" t="s">
        <v>1171</v>
      </c>
      <c r="B931" s="56" t="s">
        <v>1217</v>
      </c>
      <c r="C931" s="57" t="s">
        <v>3113</v>
      </c>
      <c r="F931" s="0" t="str">
        <f aca="false">_xlfn.CONCAT(G931,H931)</f>
        <v>CCCO2012ANALISIS Y PRESUPUESTO TRANSM</v>
      </c>
      <c r="G931" s="0" t="s">
        <v>44</v>
      </c>
      <c r="H931" s="0" t="s">
        <v>3113</v>
      </c>
    </row>
    <row r="932" customFormat="false" ht="14.65" hidden="false" customHeight="false" outlineLevel="0" collapsed="false">
      <c r="A932" s="55" t="s">
        <v>1171</v>
      </c>
      <c r="B932" s="56" t="s">
        <v>1220</v>
      </c>
      <c r="C932" s="57" t="s">
        <v>3114</v>
      </c>
      <c r="F932" s="0" t="str">
        <f aca="false">_xlfn.CONCAT(G932,H932)</f>
        <v>CCCO2013FORM Y EVAL PROYECTOS COMUNIC</v>
      </c>
      <c r="G932" s="0" t="s">
        <v>693</v>
      </c>
      <c r="H932" s="0" t="s">
        <v>3114</v>
      </c>
    </row>
    <row r="933" customFormat="false" ht="14.65" hidden="false" customHeight="false" outlineLevel="0" collapsed="false">
      <c r="A933" s="55" t="s">
        <v>1171</v>
      </c>
      <c r="B933" s="56" t="s">
        <v>1223</v>
      </c>
      <c r="C933" s="57" t="s">
        <v>858</v>
      </c>
      <c r="F933" s="0" t="str">
        <f aca="false">_xlfn.CONCAT(G933,H933)</f>
        <v>CCCO2014MERCADEO DIGITAL</v>
      </c>
      <c r="G933" s="0" t="s">
        <v>857</v>
      </c>
      <c r="H933" s="0" t="s">
        <v>858</v>
      </c>
    </row>
    <row r="934" customFormat="false" ht="14.65" hidden="false" customHeight="false" outlineLevel="0" collapsed="false">
      <c r="A934" s="55" t="s">
        <v>1171</v>
      </c>
      <c r="B934" s="56" t="s">
        <v>1226</v>
      </c>
      <c r="C934" s="57" t="s">
        <v>1350</v>
      </c>
      <c r="F934" s="0" t="str">
        <f aca="false">_xlfn.CONCAT(G934,H934)</f>
        <v>CCCO2015COMUNICACION POLITICA</v>
      </c>
      <c r="G934" s="0" t="s">
        <v>152</v>
      </c>
      <c r="H934" s="0" t="s">
        <v>1350</v>
      </c>
    </row>
    <row r="935" customFormat="false" ht="14.65" hidden="false" customHeight="false" outlineLevel="0" collapsed="false">
      <c r="A935" s="55" t="s">
        <v>1171</v>
      </c>
      <c r="B935" s="56" t="s">
        <v>1238</v>
      </c>
      <c r="C935" s="57" t="s">
        <v>3115</v>
      </c>
      <c r="F935" s="0" t="str">
        <f aca="false">_xlfn.CONCAT(G935,H935)</f>
        <v>CCCO2018ESTRATEGIA Y COMUNICACION COM</v>
      </c>
      <c r="G935" s="0" t="s">
        <v>593</v>
      </c>
      <c r="H935" s="0" t="s">
        <v>3115</v>
      </c>
    </row>
    <row r="936" customFormat="false" ht="14.65" hidden="false" customHeight="false" outlineLevel="0" collapsed="false">
      <c r="A936" s="55" t="s">
        <v>1171</v>
      </c>
      <c r="B936" s="56" t="s">
        <v>1666</v>
      </c>
      <c r="C936" s="57" t="s">
        <v>484</v>
      </c>
      <c r="F936" s="0" t="str">
        <f aca="false">_xlfn.CONCAT(G936,H936)</f>
        <v>CCCO2019ELECTIVA</v>
      </c>
      <c r="G936" s="0" t="s">
        <v>497</v>
      </c>
      <c r="H936" s="0" t="s">
        <v>484</v>
      </c>
    </row>
    <row r="937" customFormat="false" ht="14.65" hidden="false" customHeight="false" outlineLevel="0" collapsed="false">
      <c r="A937" s="55" t="s">
        <v>1171</v>
      </c>
      <c r="B937" s="56" t="s">
        <v>1669</v>
      </c>
      <c r="C937" s="57" t="s">
        <v>3116</v>
      </c>
      <c r="F937" s="0" t="str">
        <f aca="false">_xlfn.CONCAT(G937,H937)</f>
        <v>CCCO2020PLATAFORMAS Y HERRAMIENTAS DIG</v>
      </c>
      <c r="G937" s="0" t="s">
        <v>903</v>
      </c>
      <c r="H937" s="0" t="s">
        <v>3116</v>
      </c>
    </row>
    <row r="938" customFormat="false" ht="14.65" hidden="false" customHeight="false" outlineLevel="0" collapsed="false">
      <c r="A938" s="55" t="s">
        <v>1171</v>
      </c>
      <c r="B938" s="56" t="s">
        <v>1672</v>
      </c>
      <c r="C938" s="57" t="s">
        <v>864</v>
      </c>
      <c r="F938" s="0" t="str">
        <f aca="false">_xlfn.CONCAT(G938,H938)</f>
        <v>CCCO2021MERCADEO INTERNACIONAL</v>
      </c>
      <c r="G938" s="0" t="s">
        <v>865</v>
      </c>
      <c r="H938" s="0" t="s">
        <v>864</v>
      </c>
    </row>
    <row r="939" customFormat="false" ht="14.65" hidden="false" customHeight="false" outlineLevel="0" collapsed="false">
      <c r="A939" s="55" t="s">
        <v>1171</v>
      </c>
      <c r="B939" s="56" t="s">
        <v>1702</v>
      </c>
      <c r="C939" s="57" t="s">
        <v>1130</v>
      </c>
      <c r="F939" s="0" t="str">
        <f aca="false">_xlfn.CONCAT(G939,H939)</f>
        <v>CCCO2022METODOS DE INVESTIGACION</v>
      </c>
      <c r="G939" s="0" t="s">
        <v>871</v>
      </c>
      <c r="H939" s="0" t="s">
        <v>1130</v>
      </c>
    </row>
    <row r="940" customFormat="false" ht="14.65" hidden="false" customHeight="false" outlineLevel="0" collapsed="false">
      <c r="A940" s="55" t="s">
        <v>1171</v>
      </c>
      <c r="B940" s="56" t="s">
        <v>1723</v>
      </c>
      <c r="C940" s="57" t="s">
        <v>3117</v>
      </c>
      <c r="F940" s="0" t="str">
        <f aca="false">_xlfn.CONCAT(G940,H940)</f>
        <v>CCCO2023ESTRATEGIA DIGITAL</v>
      </c>
      <c r="G940" s="0" t="s">
        <v>589</v>
      </c>
      <c r="H940" s="0" t="s">
        <v>3117</v>
      </c>
    </row>
    <row r="941" customFormat="false" ht="14.65" hidden="false" customHeight="false" outlineLevel="0" collapsed="false">
      <c r="A941" s="55" t="s">
        <v>1171</v>
      </c>
      <c r="B941" s="56" t="s">
        <v>1711</v>
      </c>
      <c r="C941" s="57" t="s">
        <v>1052</v>
      </c>
      <c r="F941" s="0" t="str">
        <f aca="false">_xlfn.CONCAT(G941,H941)</f>
        <v>CCCO2024TRABAJO FINAL DE GRADUACION</v>
      </c>
      <c r="G941" s="0" t="s">
        <v>1051</v>
      </c>
      <c r="H941" s="0" t="s">
        <v>1052</v>
      </c>
    </row>
    <row r="942" customFormat="false" ht="14.65" hidden="false" customHeight="false" outlineLevel="0" collapsed="false">
      <c r="A942" s="55" t="s">
        <v>2803</v>
      </c>
      <c r="B942" s="56" t="s">
        <v>3118</v>
      </c>
      <c r="C942" s="57" t="s">
        <v>3119</v>
      </c>
      <c r="F942" s="0" t="str">
        <f aca="false">_xlfn.CONCAT(G942,H942)</f>
        <v>ECTE6096INT CALIDAD Y CADENA SUMINIST</v>
      </c>
      <c r="G942" s="0" t="s">
        <v>818</v>
      </c>
      <c r="H942" s="0" t="s">
        <v>3119</v>
      </c>
    </row>
    <row r="943" customFormat="false" ht="14.65" hidden="false" customHeight="false" outlineLevel="0" collapsed="false">
      <c r="A943" s="55" t="s">
        <v>2803</v>
      </c>
      <c r="B943" s="56" t="s">
        <v>3120</v>
      </c>
      <c r="C943" s="57" t="s">
        <v>3121</v>
      </c>
      <c r="F943" s="0" t="str">
        <f aca="false">_xlfn.CONCAT(G943,H943)</f>
        <v>ECTE6097ESTRAT Y DIS CADENA SUMINIST</v>
      </c>
      <c r="G943" s="0" t="s">
        <v>599</v>
      </c>
      <c r="H943" s="0" t="s">
        <v>3121</v>
      </c>
    </row>
    <row r="944" customFormat="false" ht="14.65" hidden="false" customHeight="false" outlineLevel="0" collapsed="false">
      <c r="A944" s="55" t="s">
        <v>2803</v>
      </c>
      <c r="B944" s="56" t="s">
        <v>3122</v>
      </c>
      <c r="C944" s="57" t="s">
        <v>3123</v>
      </c>
      <c r="F944" s="0" t="str">
        <f aca="false">_xlfn.CONCAT(G944,H944)</f>
        <v>ECTE6098COLAB  INT PROC CADENA SUMINIS</v>
      </c>
      <c r="G944" s="0" t="s">
        <v>130</v>
      </c>
      <c r="H944" s="0" t="s">
        <v>3123</v>
      </c>
    </row>
    <row r="945" customFormat="false" ht="14.65" hidden="false" customHeight="false" outlineLevel="0" collapsed="false">
      <c r="A945" s="55" t="s">
        <v>2803</v>
      </c>
      <c r="B945" s="56" t="s">
        <v>3124</v>
      </c>
      <c r="C945" s="57" t="s">
        <v>3125</v>
      </c>
      <c r="F945" s="0" t="str">
        <f aca="false">_xlfn.CONCAT(G945,H945)</f>
        <v>ECTE6099GEST CALIDAD APLIC INVENTARIOS</v>
      </c>
      <c r="G945" s="0" t="s">
        <v>753</v>
      </c>
      <c r="H945" s="0" t="s">
        <v>3125</v>
      </c>
    </row>
    <row r="946" customFormat="false" ht="14.65" hidden="false" customHeight="false" outlineLevel="0" collapsed="false">
      <c r="A946" s="55" t="s">
        <v>2803</v>
      </c>
      <c r="B946" s="56" t="s">
        <v>3126</v>
      </c>
      <c r="C946" s="57" t="s">
        <v>3127</v>
      </c>
      <c r="F946" s="0" t="str">
        <f aca="false">_xlfn.CONCAT(G946,H946)</f>
        <v>ECTE6100HERRAMIENTAS CALID MEJORA CONT</v>
      </c>
      <c r="G946" s="0" t="s">
        <v>782</v>
      </c>
      <c r="H946" s="0" t="s">
        <v>3127</v>
      </c>
    </row>
    <row r="947" customFormat="false" ht="14.65" hidden="false" customHeight="false" outlineLevel="0" collapsed="false">
      <c r="A947" s="55" t="s">
        <v>2803</v>
      </c>
      <c r="B947" s="56" t="s">
        <v>3128</v>
      </c>
      <c r="C947" s="57" t="s">
        <v>3129</v>
      </c>
      <c r="F947" s="0" t="str">
        <f aca="false">_xlfn.CONCAT(G947,H947)</f>
        <v>ECTE6101SISTEMA GEST CALID METR NORM</v>
      </c>
      <c r="G947" s="0" t="s">
        <v>990</v>
      </c>
      <c r="H947" s="0" t="s">
        <v>3129</v>
      </c>
    </row>
    <row r="948" customFormat="false" ht="14.65" hidden="false" customHeight="false" outlineLevel="0" collapsed="false">
      <c r="A948" s="55" t="s">
        <v>2803</v>
      </c>
      <c r="B948" s="56" t="s">
        <v>3130</v>
      </c>
      <c r="C948" s="57" t="s">
        <v>3131</v>
      </c>
      <c r="F948" s="0" t="str">
        <f aca="false">_xlfn.CONCAT(G948,H948)</f>
        <v>ECTE6102TRANSPORTE Y DISTRIBUCIÓN LOG</v>
      </c>
      <c r="G948" s="0" t="s">
        <v>1067</v>
      </c>
      <c r="H948" s="0" t="s">
        <v>3131</v>
      </c>
    </row>
    <row r="949" customFormat="false" ht="14.65" hidden="false" customHeight="false" outlineLevel="0" collapsed="false">
      <c r="A949" s="55" t="s">
        <v>2803</v>
      </c>
      <c r="B949" s="56" t="s">
        <v>3132</v>
      </c>
      <c r="C949" s="57" t="s">
        <v>3133</v>
      </c>
      <c r="F949" s="0" t="str">
        <f aca="false">_xlfn.CONCAT(G949,H949)</f>
        <v>ECTE6103GESTION DE ALMACENES </v>
      </c>
      <c r="G949" s="0" t="s">
        <v>749</v>
      </c>
      <c r="H949" s="0" t="s">
        <v>3133</v>
      </c>
    </row>
    <row r="950" customFormat="false" ht="14.65" hidden="false" customHeight="false" outlineLevel="0" collapsed="false">
      <c r="A950" s="55" t="s">
        <v>2803</v>
      </c>
      <c r="B950" s="56" t="s">
        <v>3134</v>
      </c>
      <c r="C950" s="57" t="s">
        <v>3135</v>
      </c>
      <c r="F950" s="0" t="str">
        <f aca="false">_xlfn.CONCAT(G950,H950)</f>
        <v>ECTE6104INTR ESTADIS INFER APLIC  EMPR</v>
      </c>
      <c r="G950" s="0" t="s">
        <v>821</v>
      </c>
      <c r="H950" s="0" t="s">
        <v>3135</v>
      </c>
    </row>
    <row r="951" customFormat="false" ht="14.65" hidden="false" customHeight="false" outlineLevel="0" collapsed="false">
      <c r="A951" s="55" t="s">
        <v>2803</v>
      </c>
      <c r="B951" s="56" t="s">
        <v>3136</v>
      </c>
      <c r="C951" s="57" t="s">
        <v>1014</v>
      </c>
      <c r="F951" s="0" t="str">
        <f aca="false">_xlfn.CONCAT(G951,H951)</f>
        <v>ECTE6105TALLER SIX SIGMA </v>
      </c>
      <c r="G951" s="0" t="s">
        <v>1013</v>
      </c>
      <c r="H951" s="0" t="s">
        <v>1014</v>
      </c>
    </row>
    <row r="952" customFormat="false" ht="14.65" hidden="false" customHeight="false" outlineLevel="0" collapsed="false">
      <c r="A952" s="55" t="s">
        <v>2803</v>
      </c>
      <c r="B952" s="56" t="s">
        <v>3137</v>
      </c>
      <c r="C952" s="57" t="s">
        <v>3138</v>
      </c>
      <c r="F952" s="0" t="str">
        <f aca="false">_xlfn.CONCAT(G952,H952)</f>
        <v>ECTE6106ADMINISTRAC PROCESOS PRODUCTIV</v>
      </c>
      <c r="G952" s="0" t="s">
        <v>7</v>
      </c>
      <c r="H952" s="0" t="s">
        <v>3138</v>
      </c>
    </row>
    <row r="953" customFormat="false" ht="14.65" hidden="false" customHeight="false" outlineLevel="0" collapsed="false">
      <c r="A953" s="55" t="s">
        <v>2803</v>
      </c>
      <c r="B953" s="56" t="s">
        <v>3139</v>
      </c>
      <c r="C953" s="57" t="s">
        <v>3140</v>
      </c>
      <c r="F953" s="0" t="str">
        <f aca="false">_xlfn.CONCAT(G953,H953)</f>
        <v>ECTE6107ADMINISTRAC RECURSOS HUMANOS</v>
      </c>
      <c r="G953" s="0" t="s">
        <v>12</v>
      </c>
      <c r="H953" s="0" t="s">
        <v>3140</v>
      </c>
    </row>
    <row r="954" customFormat="false" ht="14.65" hidden="false" customHeight="false" outlineLevel="0" collapsed="false">
      <c r="A954" s="55" t="s">
        <v>2803</v>
      </c>
      <c r="B954" s="56" t="s">
        <v>3141</v>
      </c>
      <c r="C954" s="57" t="s">
        <v>3142</v>
      </c>
      <c r="F954" s="0" t="str">
        <f aca="false">_xlfn.CONCAT(G954,H954)</f>
        <v>ECTE6108ESTUDIO TIEMPO Y MOVIMIENTOS</v>
      </c>
      <c r="G954" s="0" t="s">
        <v>612</v>
      </c>
      <c r="H954" s="0" t="s">
        <v>3142</v>
      </c>
    </row>
    <row r="955" customFormat="false" ht="14.65" hidden="false" customHeight="false" outlineLevel="0" collapsed="false">
      <c r="A955" s="55" t="s">
        <v>2803</v>
      </c>
      <c r="B955" s="56" t="s">
        <v>3143</v>
      </c>
      <c r="C955" s="57" t="s">
        <v>3144</v>
      </c>
      <c r="F955" s="0" t="str">
        <f aca="false">_xlfn.CONCAT(G955,H955)</f>
        <v>ECTE6109METODOS DE TRABAJO</v>
      </c>
      <c r="G955" s="0" t="s">
        <v>877</v>
      </c>
      <c r="H955" s="0" t="s">
        <v>3144</v>
      </c>
    </row>
    <row r="956" customFormat="false" ht="14.65" hidden="false" customHeight="false" outlineLevel="0" collapsed="false">
      <c r="A956" s="55" t="s">
        <v>2803</v>
      </c>
      <c r="B956" s="56" t="s">
        <v>3145</v>
      </c>
      <c r="C956" s="57" t="s">
        <v>3146</v>
      </c>
      <c r="F956" s="0" t="str">
        <f aca="false">_xlfn.CONCAT(G956,H956)</f>
        <v>ECTE6110DISENO DE PLANTA</v>
      </c>
      <c r="G956" s="0" t="s">
        <v>398</v>
      </c>
      <c r="H956" s="0" t="s">
        <v>3146</v>
      </c>
    </row>
    <row r="957" customFormat="false" ht="14.65" hidden="false" customHeight="false" outlineLevel="0" collapsed="false">
      <c r="A957" s="55" t="s">
        <v>2803</v>
      </c>
      <c r="B957" s="56" t="s">
        <v>3147</v>
      </c>
      <c r="C957" s="57" t="s">
        <v>177</v>
      </c>
      <c r="F957" s="0" t="str">
        <f aca="false">_xlfn.CONCAT(G957,H957)</f>
        <v>ECTE6111COSTOS INDUSTRIALES</v>
      </c>
      <c r="G957" s="0" t="s">
        <v>176</v>
      </c>
      <c r="H957" s="0" t="s">
        <v>177</v>
      </c>
    </row>
    <row r="958" customFormat="false" ht="14.65" hidden="false" customHeight="false" outlineLevel="0" collapsed="false">
      <c r="A958" s="58" t="s">
        <v>1175</v>
      </c>
      <c r="B958" s="59" t="s">
        <v>3148</v>
      </c>
      <c r="C958" s="60" t="s">
        <v>1870</v>
      </c>
      <c r="F958" s="0" t="str">
        <f aca="false">_xlfn.CONCAT(G958,H958)</f>
        <v>CSCE0130PRACTICA DOCENTE</v>
      </c>
      <c r="G958" s="0" t="s">
        <v>705</v>
      </c>
      <c r="H958" s="0" t="s">
        <v>1870</v>
      </c>
    </row>
    <row r="959" customFormat="false" ht="14.65" hidden="false" customHeight="false" outlineLevel="0" collapsed="false">
      <c r="A959" s="58" t="s">
        <v>1175</v>
      </c>
      <c r="B959" s="59" t="s">
        <v>3149</v>
      </c>
      <c r="C959" s="60" t="s">
        <v>1870</v>
      </c>
      <c r="F959" s="0" t="str">
        <f aca="false">_xlfn.CONCAT(G959,H959)</f>
        <v>CSCE0131PRACTICA DOCENTE</v>
      </c>
      <c r="G959" s="0" t="s">
        <v>960</v>
      </c>
      <c r="H959" s="0" t="s">
        <v>1870</v>
      </c>
    </row>
    <row r="960" customFormat="false" ht="14.65" hidden="false" customHeight="false" outlineLevel="0" collapsed="false">
      <c r="A960" s="58" t="s">
        <v>1175</v>
      </c>
      <c r="B960" s="59" t="s">
        <v>3150</v>
      </c>
      <c r="C960" s="60" t="s">
        <v>1870</v>
      </c>
      <c r="F960" s="0" t="str">
        <f aca="false">_xlfn.CONCAT(G960,H960)</f>
        <v>CSCE0132PRACTICA DOCENTE</v>
      </c>
      <c r="G960" s="0" t="s">
        <v>560</v>
      </c>
      <c r="H960" s="0" t="s">
        <v>1870</v>
      </c>
    </row>
    <row r="961" customFormat="false" ht="14.65" hidden="false" customHeight="false" outlineLevel="0" collapsed="false">
      <c r="A961" s="58" t="s">
        <v>1175</v>
      </c>
      <c r="B961" s="59" t="s">
        <v>3151</v>
      </c>
      <c r="C961" s="60" t="s">
        <v>1830</v>
      </c>
      <c r="F961" s="0" t="str">
        <f aca="false">_xlfn.CONCAT(G961,H961)</f>
        <v>CSCE0133PRACTICA PROFESIONAL</v>
      </c>
      <c r="G961" s="0" t="s">
        <v>825</v>
      </c>
      <c r="H961" s="0" t="s">
        <v>1830</v>
      </c>
    </row>
    <row r="962" customFormat="false" ht="14.65" hidden="false" customHeight="false" outlineLevel="0" collapsed="false">
      <c r="A962" s="58" t="s">
        <v>1178</v>
      </c>
      <c r="B962" s="59" t="s">
        <v>1805</v>
      </c>
      <c r="C962" s="60" t="s">
        <v>1411</v>
      </c>
      <c r="F962" s="0" t="str">
        <f aca="false">_xlfn.CONCAT(G962,H962)</f>
        <v>AHCN0126MERCADEO II</v>
      </c>
      <c r="G962" s="0" t="s">
        <v>3152</v>
      </c>
      <c r="H962" s="0" t="s">
        <v>1411</v>
      </c>
    </row>
    <row r="963" customFormat="false" ht="14.65" hidden="false" customHeight="false" outlineLevel="0" collapsed="false">
      <c r="A963" s="58" t="s">
        <v>1178</v>
      </c>
      <c r="B963" s="59" t="s">
        <v>2024</v>
      </c>
      <c r="C963" s="60" t="s">
        <v>3153</v>
      </c>
      <c r="F963" s="0" t="str">
        <f aca="false">_xlfn.CONCAT(G963,H963)</f>
        <v>AHCN0075GESTION DEL TALENTO HUMANO</v>
      </c>
      <c r="G963" s="0" t="s">
        <v>3154</v>
      </c>
      <c r="H963" s="0" t="s">
        <v>3153</v>
      </c>
    </row>
    <row r="964" customFormat="false" ht="14.65" hidden="false" customHeight="false" outlineLevel="0" collapsed="false">
      <c r="A964" s="58" t="s">
        <v>1178</v>
      </c>
      <c r="B964" s="59" t="s">
        <v>2027</v>
      </c>
      <c r="C964" s="60" t="s">
        <v>3155</v>
      </c>
      <c r="F964" s="0" t="str">
        <f aca="false">_xlfn.CONCAT(G964,H964)</f>
        <v>AHCN0127GESTION DEL RECURSO HUMANO</v>
      </c>
      <c r="G964" s="0" t="s">
        <v>3156</v>
      </c>
      <c r="H964" s="0" t="s">
        <v>3155</v>
      </c>
    </row>
    <row r="965" customFormat="false" ht="14.65" hidden="false" customHeight="false" outlineLevel="0" collapsed="false">
      <c r="A965" s="55" t="s">
        <v>1370</v>
      </c>
      <c r="B965" s="56" t="s">
        <v>1554</v>
      </c>
      <c r="C965" s="57" t="s">
        <v>1206</v>
      </c>
      <c r="F965" s="0" t="str">
        <f aca="false">_xlfn.CONCAT(G965,H965)</f>
        <v>INTI0119ETICA PROFESIONAL</v>
      </c>
      <c r="G965" s="0" t="s">
        <v>3157</v>
      </c>
      <c r="H965" s="0" t="s">
        <v>1206</v>
      </c>
    </row>
    <row r="966" customFormat="false" ht="14.65" hidden="false" customHeight="false" outlineLevel="0" collapsed="false">
      <c r="A966" s="55" t="s">
        <v>1178</v>
      </c>
      <c r="B966" s="56" t="s">
        <v>1852</v>
      </c>
      <c r="C966" s="57" t="s">
        <v>1094</v>
      </c>
      <c r="F966" s="0" t="str">
        <f aca="false">_xlfn.CONCAT(G966,H966)</f>
        <v>AHCN0128PSICOLOGIA GENERAL</v>
      </c>
      <c r="G966" s="0" t="s">
        <v>3158</v>
      </c>
      <c r="H966" s="0" t="s">
        <v>1094</v>
      </c>
    </row>
  </sheetData>
  <conditionalFormatting sqref="A1:B1">
    <cfRule type="expression" priority="2" aboveAverage="0" equalAverage="0" bottom="0" percent="0" rank="0" text="" dxfId="24">
      <formula>AND(COUNTIF($19:$19,A1)&gt;1,NOT(ISBLANK(A1)))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3eb0ea-71d3-468a-b5b6-0a70b41debec" xsi:nil="true"/>
    <lcf76f155ced4ddcb4097134ff3c332f xmlns="b2450b94-7e53-4f87-ba0f-765576c4388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E2E1E72E593D94CAAF238F4EB24962F" ma:contentTypeVersion="14" ma:contentTypeDescription="Crear nuevo documento." ma:contentTypeScope="" ma:versionID="226147a95e0cf5008e300e6ac831b813">
  <xsd:schema xmlns:xsd="http://www.w3.org/2001/XMLSchema" xmlns:xs="http://www.w3.org/2001/XMLSchema" xmlns:p="http://schemas.microsoft.com/office/2006/metadata/properties" xmlns:ns2="b2450b94-7e53-4f87-ba0f-765576c43881" xmlns:ns3="b63eb0ea-71d3-468a-b5b6-0a70b41debec" targetNamespace="http://schemas.microsoft.com/office/2006/metadata/properties" ma:root="true" ma:fieldsID="5abc175be5ccc569f319dc8407fa01d4" ns2:_="" ns3:_="">
    <xsd:import namespace="b2450b94-7e53-4f87-ba0f-765576c43881"/>
    <xsd:import namespace="b63eb0ea-71d3-468a-b5b6-0a70b41deb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450b94-7e53-4f87-ba0f-765576c43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d861b30f-9ea3-4d2d-8a8c-635799609e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3eb0ea-71d3-468a-b5b6-0a70b41debe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ff6107b-7b6b-4e33-b1f8-4aa073ee5efd}" ma:internalName="TaxCatchAll" ma:showField="CatchAllData" ma:web="b63eb0ea-71d3-468a-b5b6-0a70b41deb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C98AD3-139B-400B-9772-71CE09783B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736B309-E5AC-458D-8F8E-78AF77CA030D}">
  <ds:schemaRefs>
    <ds:schemaRef ds:uri="http://schemas.microsoft.com/office/2006/metadata/properties"/>
    <ds:schemaRef ds:uri="http://schemas.microsoft.com/office/infopath/2007/PartnerControls"/>
    <ds:schemaRef ds:uri="b63eb0ea-71d3-468a-b5b6-0a70b41debec"/>
    <ds:schemaRef ds:uri="b2450b94-7e53-4f87-ba0f-765576c43881"/>
  </ds:schemaRefs>
</ds:datastoreItem>
</file>

<file path=customXml/itemProps3.xml><?xml version="1.0" encoding="utf-8"?>
<ds:datastoreItem xmlns:ds="http://schemas.openxmlformats.org/officeDocument/2006/customXml" ds:itemID="{72F5FCFB-EC7D-4427-AC05-8C75CA7FD8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450b94-7e53-4f87-ba0f-765576c43881"/>
    <ds:schemaRef ds:uri="b63eb0ea-71d3-468a-b5b6-0a70b41deb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2025-10-03T16:54:25Z</dcterms:created>
  <dc:creator>Byron Fabián Naranjo</dc:creator>
  <dc:description/>
  <dc:language>es-EC</dc:language>
  <cp:lastModifiedBy/>
  <dcterms:modified xsi:type="dcterms:W3CDTF">2026-04-01T17:10:18Z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0x0101001E2E1E72E593D94CAAF238F4EB24962F</vt:lpwstr>
  </property>
  <property fmtid="{D5CDD505-2E9C-101B-9397-08002B2CF9AE}" pid="3" name="MediaServiceImageTags">
    <vt:lpwstr/>
  </property>
</Properties>
</file>